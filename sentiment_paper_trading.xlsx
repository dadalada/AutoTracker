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 activeTab="2"/>
  </bookViews>
  <sheets>
    <sheet name="SMI20" sheetId="13" r:id="rId1"/>
    <sheet name="DAX40" sheetId="12" r:id="rId2"/>
    <sheet name="CAC40" sheetId="1" r:id="rId3"/>
    <sheet name="CumSpreadPercen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<sst xmlns="http://schemas.openxmlformats.org/spreadsheetml/2006/main" count="326" uniqueCount="229">
  <si>
    <t>Last Rebalancing Date</t>
  </si>
  <si>
    <t>AUM</t>
  </si>
  <si>
    <t xml:space="preserve">Starting Point </t>
  </si>
  <si>
    <t>Next Rebalacing Date</t>
  </si>
  <si>
    <t>Company Name</t>
  </si>
  <si>
    <t>RIC</t>
  </si>
  <si>
    <t>Weight in Portfolio</t>
  </si>
  <si>
    <t>Asset Allocation</t>
  </si>
  <si>
    <t>#Shares</t>
  </si>
  <si>
    <t>Price</t>
  </si>
  <si>
    <t>Date</t>
  </si>
  <si>
    <t xml:space="preserve"> 2025.08.01</t>
  </si>
  <si>
    <t>Roche Holding</t>
  </si>
  <si>
    <t>/ROG.S</t>
  </si>
  <si>
    <t>Nestle SA</t>
  </si>
  <si>
    <t>/NESN.S</t>
  </si>
  <si>
    <t>Novartis</t>
  </si>
  <si>
    <t>/NOVN.S</t>
  </si>
  <si>
    <t>Abb Ltd</t>
  </si>
  <si>
    <t>/ABBN.S</t>
  </si>
  <si>
    <t>UBS Group</t>
  </si>
  <si>
    <t>/UBSG.S</t>
  </si>
  <si>
    <t>Zurich Insurance</t>
  </si>
  <si>
    <t>/ZURN.S</t>
  </si>
  <si>
    <t>Compagnie Financiere Richemont</t>
  </si>
  <si>
    <t>/CFR.S</t>
  </si>
  <si>
    <t>Swiss Re</t>
  </si>
  <si>
    <t>/SRENH.S</t>
  </si>
  <si>
    <t>Lonza</t>
  </si>
  <si>
    <t>/LONN.S</t>
  </si>
  <si>
    <t>Holcim</t>
  </si>
  <si>
    <t>/HOLN.S</t>
  </si>
  <si>
    <t>Alcon</t>
  </si>
  <si>
    <t>/ALCC.S</t>
  </si>
  <si>
    <t>Givaudan</t>
  </si>
  <si>
    <t>/GIVN.S</t>
  </si>
  <si>
    <t>Sika</t>
  </si>
  <si>
    <t>/SIKA.S</t>
  </si>
  <si>
    <t>Swisscom</t>
  </si>
  <si>
    <t>/SCMN.S</t>
  </si>
  <si>
    <t>Partners Group Holding</t>
  </si>
  <si>
    <t>/PGHN.S</t>
  </si>
  <si>
    <t>Swiss Life</t>
  </si>
  <si>
    <t>/SLHN.S</t>
  </si>
  <si>
    <t>Geberit</t>
  </si>
  <si>
    <t>/GEBN.S</t>
  </si>
  <si>
    <t>Kuehne und Nagel International</t>
  </si>
  <si>
    <t>/KNIN.S</t>
  </si>
  <si>
    <t>Sonova</t>
  </si>
  <si>
    <t>/SOON.S</t>
  </si>
  <si>
    <t>Logitech</t>
  </si>
  <si>
    <t>/LOGN.S</t>
  </si>
  <si>
    <t>DAX40</t>
  </si>
  <si>
    <t>/.SSMI</t>
  </si>
  <si>
    <t xml:space="preserve">CrossCheck </t>
  </si>
  <si>
    <t>MTM Daily Profit</t>
  </si>
  <si>
    <t>MTM Daily Percentage</t>
  </si>
  <si>
    <t>MTM Cumulative Profit</t>
  </si>
  <si>
    <t>MTM Cumulative Percentage</t>
  </si>
  <si>
    <t>Index Daily Profit</t>
  </si>
  <si>
    <t>Index Daily Percentage</t>
  </si>
  <si>
    <t>Index Cumulative Profit</t>
  </si>
  <si>
    <t>Index Cumulative Percentage</t>
  </si>
  <si>
    <t>Strategy Daily Spread</t>
  </si>
  <si>
    <t>Strategy Daily Spread Percentage</t>
  </si>
  <si>
    <t>Strategy Cumulative Spread</t>
  </si>
  <si>
    <t>Strategy Cumulative Spread Percentage</t>
  </si>
  <si>
    <t>Adidas</t>
  </si>
  <si>
    <t>ADSGn.DE</t>
  </si>
  <si>
    <t>Airbus</t>
  </si>
  <si>
    <t>AIRG.DE</t>
  </si>
  <si>
    <t>Allianz</t>
  </si>
  <si>
    <t>ALVG.DE</t>
  </si>
  <si>
    <t>BASF</t>
  </si>
  <si>
    <t>BASFn.DE</t>
  </si>
  <si>
    <t>Bayer</t>
  </si>
  <si>
    <t>BAYGn.DE</t>
  </si>
  <si>
    <t>Beiersdorf</t>
  </si>
  <si>
    <t>BEIG.DE</t>
  </si>
  <si>
    <t>BMW</t>
  </si>
  <si>
    <t>BMWG.DE</t>
  </si>
  <si>
    <t>Brenntag</t>
  </si>
  <si>
    <t>BNRGn.DE</t>
  </si>
  <si>
    <t>Commerzbank</t>
  </si>
  <si>
    <t>CBKG.DE</t>
  </si>
  <si>
    <t>Continental</t>
  </si>
  <si>
    <t>CONG.DE</t>
  </si>
  <si>
    <t>Deutsche Bank</t>
  </si>
  <si>
    <t>DBKGn.DE</t>
  </si>
  <si>
    <t>Deutsche Boerse</t>
  </si>
  <si>
    <t>DB1Gn.DE</t>
  </si>
  <si>
    <t>Deutsche Post</t>
  </si>
  <si>
    <t>DHLn.DE</t>
  </si>
  <si>
    <t>Deutsche Telekom</t>
  </si>
  <si>
    <t>DTEGn.DE</t>
  </si>
  <si>
    <t>E.ON</t>
  </si>
  <si>
    <t>EONGn.DE</t>
  </si>
  <si>
    <t>Fresenius SE &amp; Co KGaA</t>
  </si>
  <si>
    <t>FREG.DE</t>
  </si>
  <si>
    <t>Fresenius Medical Care</t>
  </si>
  <si>
    <t>FMEG.DE</t>
  </si>
  <si>
    <t>Hannover Rueck</t>
  </si>
  <si>
    <t>HNRGn.DE</t>
  </si>
  <si>
    <t>Heidelberg Materials</t>
  </si>
  <si>
    <t>HEIG.DE</t>
  </si>
  <si>
    <t>Henkel AG &amp; Co KGaA</t>
  </si>
  <si>
    <t>HNKG_p.DE</t>
  </si>
  <si>
    <t>Infineon Technologies</t>
  </si>
  <si>
    <t>IFXGn.DE</t>
  </si>
  <si>
    <t>Mercedes-Benz Group</t>
  </si>
  <si>
    <t>MBGn.DE</t>
  </si>
  <si>
    <t>Merck</t>
  </si>
  <si>
    <t>MRCG.DE</t>
  </si>
  <si>
    <t>MTU Aero Engines</t>
  </si>
  <si>
    <t>MTXGn.DE</t>
  </si>
  <si>
    <t>Munich RE</t>
  </si>
  <si>
    <t>MUVGn.DE</t>
  </si>
  <si>
    <t>Porsche Automobil Holding</t>
  </si>
  <si>
    <t>PSHG_p.DE</t>
  </si>
  <si>
    <t>Qiagen NV</t>
  </si>
  <si>
    <t>QGEN.K</t>
  </si>
  <si>
    <t>Rheinmetall</t>
  </si>
  <si>
    <t>RHMG.DE</t>
  </si>
  <si>
    <t>RWE</t>
  </si>
  <si>
    <t>RWEG.DE</t>
  </si>
  <si>
    <t>SAP</t>
  </si>
  <si>
    <t>SAPG.DE</t>
  </si>
  <si>
    <t>Sartorius</t>
  </si>
  <si>
    <t>SATG.DE</t>
  </si>
  <si>
    <t>Siemens</t>
  </si>
  <si>
    <t>SIEGn.DE</t>
  </si>
  <si>
    <t>Siemens Healthineers</t>
  </si>
  <si>
    <t>SHLG.DE</t>
  </si>
  <si>
    <t>Symrise</t>
  </si>
  <si>
    <t>SY1G.DE</t>
  </si>
  <si>
    <t>Volkswagen</t>
  </si>
  <si>
    <t>VOWG.DE</t>
  </si>
  <si>
    <t>Vonovia</t>
  </si>
  <si>
    <t>VNAn.DE</t>
  </si>
  <si>
    <t>Zalando</t>
  </si>
  <si>
    <t>ZALG.DE</t>
  </si>
  <si>
    <t>.GDAXI</t>
  </si>
  <si>
    <t>LVMH</t>
  </si>
  <si>
    <t>LVMH.PA</t>
  </si>
  <si>
    <t>Schneider Electric</t>
  </si>
  <si>
    <t>SCHN.PA</t>
  </si>
  <si>
    <t>TotalEnergies</t>
  </si>
  <si>
    <t>TTEF.PA</t>
  </si>
  <si>
    <t>Sanofi</t>
  </si>
  <si>
    <t>SASY.PA</t>
  </si>
  <si>
    <t>AIR.PA</t>
  </si>
  <si>
    <t>Air Liquide</t>
  </si>
  <si>
    <t>AIRP.PA</t>
  </si>
  <si>
    <t>L'Oreal</t>
  </si>
  <si>
    <t>OREP.PA</t>
  </si>
  <si>
    <t>Safran</t>
  </si>
  <si>
    <t>SAF.PA</t>
  </si>
  <si>
    <t>EssilorLuxottica</t>
  </si>
  <si>
    <t>ESLX.PA</t>
  </si>
  <si>
    <t>Hermes</t>
  </si>
  <si>
    <t>HRMS.PA</t>
  </si>
  <si>
    <t>AXA</t>
  </si>
  <si>
    <t>AXAF.PA</t>
  </si>
  <si>
    <t>BNP Paribas SA</t>
  </si>
  <si>
    <t>BNPP.PA</t>
  </si>
  <si>
    <t>Vinci</t>
  </si>
  <si>
    <t>SGEF.PA</t>
  </si>
  <si>
    <t>Danone</t>
  </si>
  <si>
    <t>DANO.PA</t>
  </si>
  <si>
    <t>Saint Gobain</t>
  </si>
  <si>
    <t>SGOB.PA</t>
  </si>
  <si>
    <t>Engie</t>
  </si>
  <si>
    <t>ENGIE.PA</t>
  </si>
  <si>
    <t>Stellantis</t>
  </si>
  <si>
    <t>STLAM.MI</t>
  </si>
  <si>
    <t>Legrand</t>
  </si>
  <si>
    <t>LEGD.PA</t>
  </si>
  <si>
    <t>Capgemini</t>
  </si>
  <si>
    <t>CAPP.PA</t>
  </si>
  <si>
    <t>Publicis Groupe</t>
  </si>
  <si>
    <t>PUBP.PA</t>
  </si>
  <si>
    <t>Michelin</t>
  </si>
  <si>
    <t>MICP.PA</t>
  </si>
  <si>
    <t>Dassault Systemes</t>
  </si>
  <si>
    <t>DAST.PA</t>
  </si>
  <si>
    <t>Pernod Ricard</t>
  </si>
  <si>
    <t>PERP.PA</t>
  </si>
  <si>
    <t>Societe Generale</t>
  </si>
  <si>
    <t>SOGN.PA</t>
  </si>
  <si>
    <t>Veolia Environnement</t>
  </si>
  <si>
    <t>VIE.PA</t>
  </si>
  <si>
    <t>Orange</t>
  </si>
  <si>
    <t>ORAN.PA</t>
  </si>
  <si>
    <t>Kering</t>
  </si>
  <si>
    <t>PRTP.PA</t>
  </si>
  <si>
    <t>STMicroelectronics</t>
  </si>
  <si>
    <t>STMPA.PA</t>
  </si>
  <si>
    <t>Thales</t>
  </si>
  <si>
    <t>TCFP.PA</t>
  </si>
  <si>
    <t>Credit Agricole</t>
  </si>
  <si>
    <t>CAGR.PA</t>
  </si>
  <si>
    <t>Bureau Veritas</t>
  </si>
  <si>
    <t>BVI.PA</t>
  </si>
  <si>
    <t>Accor</t>
  </si>
  <si>
    <t>ACCP.PA</t>
  </si>
  <si>
    <t>Renault</t>
  </si>
  <si>
    <t>RENA.PA</t>
  </si>
  <si>
    <t>ArcelorMittal</t>
  </si>
  <si>
    <t>MT.AS</t>
  </si>
  <si>
    <t>Unibail-Rodamco-Westfield SE</t>
  </si>
  <si>
    <t>URW.PA</t>
  </si>
  <si>
    <t>Edenred</t>
  </si>
  <si>
    <t>EDEN.PA</t>
  </si>
  <si>
    <t>Carrefour</t>
  </si>
  <si>
    <t>CARR.PA</t>
  </si>
  <si>
    <t>Eurofins Scientific</t>
  </si>
  <si>
    <t>EUFI.PA</t>
  </si>
  <si>
    <t>Bouygues</t>
  </si>
  <si>
    <t>BOUY.PA</t>
  </si>
  <si>
    <t>Teleperformance</t>
  </si>
  <si>
    <t>TEPRF.PA</t>
  </si>
  <si>
    <t>CAC40</t>
  </si>
  <si>
    <t>.FCHI</t>
  </si>
  <si>
    <t>CAC40_Strat</t>
  </si>
  <si>
    <t>CAC40_Index</t>
  </si>
  <si>
    <t>DAX40_Strat</t>
  </si>
  <si>
    <t>DAX40_Index</t>
  </si>
  <si>
    <t>SMI20_Strat</t>
  </si>
  <si>
    <t>SMI20_Index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</si>
</sst>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yyyy\-mm\-dd;@"/>
    <numFmt numFmtId="178" formatCode="0.0%"/>
    <numFmt numFmtId="179" formatCode="_([$€-2]\ * #,##0_);_([$€-2]\ * \(#,##0\);_([$€-2]\ * &quot;-&quot;??_);_(@_)"/>
    <numFmt numFmtId="180" formatCode="_([$€-2]\ * #,##0.00_);_([$€-2]\ * \(#,##0.00\);_([$€-2]\ * &quot;-&quot;??_);_(@_)"/>
    <numFmt numFmtId="181" formatCode="0.000%"/>
  </numFmts>
  <fonts count="23">
    <font>
      <sz val="12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2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3" applyNumberFormat="0" applyFill="0" applyAlignment="0" applyProtection="0"/>
    <xf numFmtId="0" fontId="11" fillId="0" borderId="24" applyNumberFormat="0" applyFill="0" applyAlignment="0" applyProtection="0"/>
    <xf numFmtId="0" fontId="12" fillId="0" borderId="2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26" applyNumberFormat="0" applyAlignment="0" applyProtection="0"/>
    <xf numFmtId="0" fontId="14" fillId="8" borderId="27" applyNumberFormat="0" applyAlignment="0" applyProtection="0"/>
    <xf numFmtId="0" fontId="15" fillId="8" borderId="26" applyNumberFormat="0" applyAlignment="0" applyProtection="0"/>
    <xf numFmtId="0" fontId="16" fillId="9" borderId="28" applyNumberFormat="0" applyAlignment="0" applyProtection="0"/>
    <xf numFmtId="0" fontId="17" fillId="0" borderId="29" applyNumberFormat="0" applyFill="0" applyAlignment="0" applyProtection="0"/>
    <xf numFmtId="0" fontId="18" fillId="0" borderId="30" applyNumberFormat="0" applyFill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1" fillId="12" borderId="0" applyNumberFormat="0" applyBorder="0" applyAlignment="0" applyProtection="0"/>
    <xf numFmtId="0" fontId="22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2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2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2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2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2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 wrapText="1"/>
    </xf>
    <xf numFmtId="10" fontId="0" fillId="0" borderId="0" xfId="3" applyNumberFormat="1" applyFont="1" applyAlignment="1">
      <alignment horizontal="center" vertical="center"/>
    </xf>
    <xf numFmtId="178" fontId="0" fillId="0" borderId="0" xfId="3" applyNumberFormat="1" applyFont="1" applyAlignment="1">
      <alignment horizontal="center" vertical="center"/>
    </xf>
    <xf numFmtId="0" fontId="2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0" fillId="0" borderId="1" xfId="0" applyBorder="1"/>
    <xf numFmtId="0" fontId="0" fillId="4" borderId="1" xfId="0" applyFill="1" applyBorder="1"/>
    <xf numFmtId="3" fontId="0" fillId="0" borderId="0" xfId="0" applyNumberFormat="1" applyAlignment="1">
      <alignment horizontal="right"/>
    </xf>
    <xf numFmtId="177" fontId="3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right" vertical="center"/>
    </xf>
    <xf numFmtId="179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0" borderId="6" xfId="0" applyBorder="1"/>
    <xf numFmtId="10" fontId="0" fillId="0" borderId="0" xfId="0" applyNumberFormat="1" applyAlignment="1">
      <alignment horizontal="center" vertical="center"/>
    </xf>
    <xf numFmtId="180" fontId="0" fillId="0" borderId="7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 applyAlignment="1">
      <alignment horizontal="center" vertical="center"/>
    </xf>
    <xf numFmtId="10" fontId="0" fillId="2" borderId="9" xfId="0" applyNumberFormat="1" applyFill="1" applyBorder="1" applyAlignment="1">
      <alignment horizontal="center" vertical="center"/>
    </xf>
    <xf numFmtId="180" fontId="0" fillId="2" borderId="10" xfId="0" applyNumberForma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10" fontId="0" fillId="0" borderId="12" xfId="3" applyNumberFormat="1" applyFont="1" applyBorder="1" applyAlignment="1">
      <alignment horizontal="center" vertical="center"/>
    </xf>
    <xf numFmtId="180" fontId="0" fillId="0" borderId="12" xfId="0" applyNumberFormat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3" fontId="2" fillId="5" borderId="13" xfId="0" applyNumberFormat="1" applyFont="1" applyFill="1" applyBorder="1" applyAlignment="1">
      <alignment horizontal="right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3" fontId="2" fillId="5" borderId="11" xfId="0" applyNumberFormat="1" applyFont="1" applyFill="1" applyBorder="1" applyAlignment="1">
      <alignment horizontal="right" vertical="center" wrapText="1"/>
    </xf>
    <xf numFmtId="177" fontId="2" fillId="5" borderId="19" xfId="0" applyNumberFormat="1" applyFont="1" applyFill="1" applyBorder="1" applyAlignment="1">
      <alignment horizontal="center" vertical="center" wrapText="1"/>
    </xf>
    <xf numFmtId="177" fontId="2" fillId="2" borderId="18" xfId="0" applyNumberFormat="1" applyFont="1" applyFill="1" applyBorder="1" applyAlignment="1">
      <alignment horizontal="center" vertical="center" wrapText="1"/>
    </xf>
    <xf numFmtId="3" fontId="0" fillId="5" borderId="6" xfId="0" applyNumberFormat="1" applyFill="1" applyBorder="1" applyAlignment="1">
      <alignment horizontal="right" vertical="center"/>
    </xf>
    <xf numFmtId="180" fontId="0" fillId="5" borderId="20" xfId="0" applyNumberFormat="1" applyFill="1" applyBorder="1"/>
    <xf numFmtId="180" fontId="0" fillId="0" borderId="0" xfId="0" applyNumberFormat="1"/>
    <xf numFmtId="3" fontId="0" fillId="5" borderId="1" xfId="0" applyNumberFormat="1" applyFill="1" applyBorder="1" applyAlignment="1">
      <alignment horizontal="right" vertical="center"/>
    </xf>
    <xf numFmtId="180" fontId="0" fillId="5" borderId="1" xfId="0" applyNumberFormat="1" applyFill="1" applyBorder="1"/>
    <xf numFmtId="180" fontId="0" fillId="0" borderId="1" xfId="0" applyNumberFormat="1" applyBorder="1"/>
    <xf numFmtId="3" fontId="0" fillId="5" borderId="8" xfId="0" applyNumberFormat="1" applyFill="1" applyBorder="1" applyAlignment="1">
      <alignment horizontal="right" vertical="center"/>
    </xf>
    <xf numFmtId="180" fontId="0" fillId="5" borderId="21" xfId="0" applyNumberFormat="1" applyFill="1" applyBorder="1"/>
    <xf numFmtId="180" fontId="0" fillId="2" borderId="18" xfId="0" applyNumberFormat="1" applyFill="1" applyBorder="1"/>
    <xf numFmtId="180" fontId="0" fillId="2" borderId="1" xfId="0" applyNumberFormat="1" applyFill="1" applyBorder="1"/>
    <xf numFmtId="3" fontId="0" fillId="5" borderId="0" xfId="0" applyNumberFormat="1" applyFill="1" applyAlignment="1">
      <alignment horizontal="right" vertical="center"/>
    </xf>
    <xf numFmtId="180" fontId="0" fillId="5" borderId="0" xfId="0" applyNumberFormat="1" applyFill="1"/>
    <xf numFmtId="3" fontId="0" fillId="5" borderId="12" xfId="0" applyNumberFormat="1" applyFill="1" applyBorder="1" applyAlignment="1">
      <alignment horizontal="right" vertical="center"/>
    </xf>
    <xf numFmtId="180" fontId="0" fillId="5" borderId="19" xfId="0" applyNumberFormat="1" applyFill="1" applyBorder="1"/>
    <xf numFmtId="180" fontId="0" fillId="0" borderId="18" xfId="0" applyNumberFormat="1" applyBorder="1"/>
    <xf numFmtId="3" fontId="0" fillId="5" borderId="1" xfId="0" applyNumberFormat="1" applyFill="1" applyBorder="1" applyAlignment="1">
      <alignment horizontal="right"/>
    </xf>
    <xf numFmtId="181" fontId="0" fillId="5" borderId="1" xfId="3" applyNumberFormat="1" applyFont="1" applyFill="1" applyBorder="1"/>
    <xf numFmtId="181" fontId="0" fillId="2" borderId="1" xfId="3" applyNumberFormat="1" applyFont="1" applyFill="1" applyBorder="1"/>
    <xf numFmtId="180" fontId="0" fillId="2" borderId="1" xfId="3" applyNumberFormat="1" applyFont="1" applyFill="1" applyBorder="1"/>
    <xf numFmtId="181" fontId="0" fillId="4" borderId="1" xfId="3" applyNumberFormat="1" applyFont="1" applyFill="1" applyBorder="1"/>
    <xf numFmtId="181" fontId="0" fillId="0" borderId="0" xfId="3" applyNumberFormat="1" applyFont="1"/>
    <xf numFmtId="180" fontId="0" fillId="0" borderId="0" xfId="3" applyNumberFormat="1" applyFont="1"/>
    <xf numFmtId="3" fontId="0" fillId="2" borderId="1" xfId="0" applyNumberFormat="1" applyFill="1" applyBorder="1" applyAlignment="1">
      <alignment horizontal="right"/>
    </xf>
    <xf numFmtId="10" fontId="0" fillId="2" borderId="1" xfId="3" applyNumberFormat="1" applyFont="1" applyFill="1" applyBorder="1"/>
    <xf numFmtId="180" fontId="0" fillId="0" borderId="1" xfId="2" applyNumberFormat="1" applyFont="1" applyBorder="1"/>
    <xf numFmtId="180" fontId="0" fillId="0" borderId="0" xfId="2" applyNumberFormat="1" applyFont="1"/>
    <xf numFmtId="180" fontId="0" fillId="0" borderId="0" xfId="0" applyNumberFormat="1" applyFont="1"/>
    <xf numFmtId="180" fontId="0" fillId="0" borderId="1" xfId="0" applyNumberFormat="1" applyFont="1" applyBorder="1"/>
    <xf numFmtId="177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80" fontId="0" fillId="2" borderId="1" xfId="0" applyNumberFormat="1" applyFill="1" applyBorder="1" applyAlignment="1">
      <alignment horizontal="center" vertical="center"/>
    </xf>
    <xf numFmtId="10" fontId="0" fillId="0" borderId="0" xfId="3" applyNumberFormat="1" applyFont="1" applyBorder="1" applyAlignment="1">
      <alignment horizontal="center" vertical="center"/>
    </xf>
    <xf numFmtId="180" fontId="0" fillId="0" borderId="0" xfId="2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0E6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bg1"/>
                </a:solidFill>
              </a:rPr>
              <a:t>Paper Trading of Sentiment</a:t>
            </a:r>
            <a:r>
              <a:rPr lang="en-US" sz="1600" baseline="0">
                <a:solidFill>
                  <a:schemeClr val="bg1"/>
                </a:solidFill>
              </a:rPr>
              <a:t> Trading Strategy with Benchmark</a:t>
            </a:r>
            <a:endParaRPr lang="en-US" sz="1600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CumSpreadPercent!$F$3</c:f>
              <c:strCache>
                <c:ptCount val="1"/>
                <c:pt idx="0">
                  <c:v>SMI20_Strat</c:v>
                </c:pt>
              </c:strCache>
            </c:strRef>
          </c:tx>
          <c:spPr>
            <a:ln w="63500" cap="rnd">
              <a:solidFill>
                <a:schemeClr val="accent1"/>
              </a:solidFill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CumSpreadPercent!$A$4:$A$14</c:f>
              <c:numCache>
                <c:formatCode>yyyy\-mm\-dd;@</c:formatCode>
                <c:ptCount val="11"/>
                <c:pt idx="0" c:formatCode="yyyy\-mm\-dd;@">
                  <c:v>45873</c:v>
                </c:pt>
                <c:pt idx="1" c:formatCode="yyyy\-mm\-dd;@">
                  <c:v>45874</c:v>
                </c:pt>
                <c:pt idx="2" c:formatCode="yyyy\-mm\-dd;@">
                  <c:v>45875</c:v>
                </c:pt>
                <c:pt idx="3" c:formatCode="yyyy\-mm\-dd;@">
                  <c:v>45876</c:v>
                </c:pt>
                <c:pt idx="4" c:formatCode="yyyy\-mm\-dd;@">
                  <c:v>45877</c:v>
                </c:pt>
                <c:pt idx="5" c:formatCode="yyyy\-mm\-dd;@">
                  <c:v>45880</c:v>
                </c:pt>
                <c:pt idx="6" c:formatCode="yyyy\-mm\-dd;@">
                  <c:v>45881</c:v>
                </c:pt>
                <c:pt idx="7" c:formatCode="yyyy\-mm\-dd;@">
                  <c:v>45882</c:v>
                </c:pt>
                <c:pt idx="8" c:formatCode="yyyy\-mm\-dd;@">
                  <c:v>45883</c:v>
                </c:pt>
                <c:pt idx="9" c:formatCode="yyyy\-mm\-dd;@">
                  <c:v>45884</c:v>
                </c:pt>
                <c:pt idx="10" c:formatCode="yyyy\-mm\-dd;@">
                  <c:v>45887</c:v>
                </c:pt>
              </c:numCache>
            </c:numRef>
          </c:cat>
          <c:val>
            <c:numRef>
              <c:f>CumSpreadPercent!$F$4:$F$14</c:f>
              <c:numCache>
                <c:formatCode>0.00%</c:formatCode>
                <c:ptCount val="11"/>
                <c:pt idx="0">
                  <c:v>0</c:v>
                </c:pt>
                <c:pt idx="1">
                  <c:v>0.00535604600000007</c:v>
                </c:pt>
                <c:pt idx="2">
                  <c:v>0.00502353900000005</c:v>
                </c:pt>
                <c:pt idx="3">
                  <c:v>0.0176489410000002</c:v>
                </c:pt>
                <c:pt idx="4">
                  <c:v>0.0290107310000002</c:v>
                </c:pt>
                <c:pt idx="5">
                  <c:v>0.0184235620000001</c:v>
                </c:pt>
                <c:pt idx="6">
                  <c:v>0.0289595110000003</c:v>
                </c:pt>
                <c:pt idx="7">
                  <c:v>0.0295106000000003</c:v>
                </c:pt>
                <c:pt idx="8">
                  <c:v>0.0286519450000003</c:v>
                </c:pt>
                <c:pt idx="9">
                  <c:v>0.0259124030000002</c:v>
                </c:pt>
                <c:pt idx="10">
                  <c:v>0.0239801850000002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CumSpreadPercent!$G$3</c:f>
              <c:strCache>
                <c:ptCount val="1"/>
                <c:pt idx="0">
                  <c:v>SMI20_Index</c:v>
                </c:pt>
              </c:strCache>
            </c:strRef>
          </c:tx>
          <c:spPr>
            <a:ln w="63500" cap="rnd">
              <a:solidFill>
                <a:schemeClr val="accent2"/>
              </a:solidFill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CumSpreadPercent!$A$4:$A$14</c:f>
              <c:numCache>
                <c:formatCode>yyyy\-mm\-dd;@</c:formatCode>
                <c:ptCount val="11"/>
                <c:pt idx="0" c:formatCode="yyyy\-mm\-dd;@">
                  <c:v>45873</c:v>
                </c:pt>
                <c:pt idx="1" c:formatCode="yyyy\-mm\-dd;@">
                  <c:v>45874</c:v>
                </c:pt>
                <c:pt idx="2" c:formatCode="yyyy\-mm\-dd;@">
                  <c:v>45875</c:v>
                </c:pt>
                <c:pt idx="3" c:formatCode="yyyy\-mm\-dd;@">
                  <c:v>45876</c:v>
                </c:pt>
                <c:pt idx="4" c:formatCode="yyyy\-mm\-dd;@">
                  <c:v>45877</c:v>
                </c:pt>
                <c:pt idx="5" c:formatCode="yyyy\-mm\-dd;@">
                  <c:v>45880</c:v>
                </c:pt>
                <c:pt idx="6" c:formatCode="yyyy\-mm\-dd;@">
                  <c:v>45881</c:v>
                </c:pt>
                <c:pt idx="7" c:formatCode="yyyy\-mm\-dd;@">
                  <c:v>45882</c:v>
                </c:pt>
                <c:pt idx="8" c:formatCode="yyyy\-mm\-dd;@">
                  <c:v>45883</c:v>
                </c:pt>
                <c:pt idx="9" c:formatCode="yyyy\-mm\-dd;@">
                  <c:v>45884</c:v>
                </c:pt>
                <c:pt idx="10" c:formatCode="yyyy\-mm\-dd;@">
                  <c:v>45887</c:v>
                </c:pt>
              </c:numCache>
            </c:numRef>
          </c:cat>
          <c:val>
            <c:numRef>
              <c:f>CumSpreadPercent!$G$4:$G$14</c:f>
              <c:numCache>
                <c:formatCode>0.00%</c:formatCode>
                <c:ptCount val="11"/>
                <c:pt idx="0">
                  <c:v>0</c:v>
                </c:pt>
                <c:pt idx="1">
                  <c:v>0.00335862000000006</c:v>
                </c:pt>
                <c:pt idx="2">
                  <c:v>-0.00535602599999996</c:v>
                </c:pt>
                <c:pt idx="3">
                  <c:v>0.00261837000000006</c:v>
                </c:pt>
                <c:pt idx="4">
                  <c:v>0.0040794120000001</c:v>
                </c:pt>
                <c:pt idx="5">
                  <c:v>0.00434505600000005</c:v>
                </c:pt>
                <c:pt idx="6">
                  <c:v>0.00573418800000006</c:v>
                </c:pt>
                <c:pt idx="7">
                  <c:v>0.0135546120000001</c:v>
                </c:pt>
                <c:pt idx="8">
                  <c:v>0.0154801080000001</c:v>
                </c:pt>
                <c:pt idx="9">
                  <c:v>0.0216322200000001</c:v>
                </c:pt>
                <c:pt idx="10">
                  <c:v>0.02142495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41883183"/>
        <c:axId val="1896168351"/>
      </c:lineChart>
      <c:dateAx>
        <c:axId val="17418831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yyyy\-mm\-dd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896168351"/>
        <c:crosses val="autoZero"/>
        <c:auto val="1"/>
        <c:lblOffset val="100"/>
        <c:baseTimeUnit val="days"/>
      </c:dateAx>
      <c:valAx>
        <c:axId val="18961683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74188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1e634e-5eb8-4eae-9703-4fd398b96865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457200</xdr:colOff>
      <xdr:row>1</xdr:row>
      <xdr:rowOff>88900</xdr:rowOff>
    </xdr:from>
    <xdr:to>
      <xdr:col>23</xdr:col>
      <xdr:colOff>215900</xdr:colOff>
      <xdr:row>34</xdr:row>
      <xdr:rowOff>12700</xdr:rowOff>
    </xdr:to>
    <xdr:graphicFrame>
      <xdr:nvGraphicFramePr>
        <xdr:cNvPr id="2" name="Chart 1"/>
        <xdr:cNvGraphicFramePr/>
      </xdr:nvGraphicFramePr>
      <xdr:xfrm>
        <a:off x="8039100" y="312420"/>
        <a:ext cx="12966700" cy="772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3"/>
  <sheetViews>
    <sheetView workbookViewId="0">
      <selection activeCell="A1" sqref="$A1:$XFD1048576"/>
    </sheetView>
  </sheetViews>
  <sheetFormatPr defaultColWidth="11" defaultRowHeight="17.6"/>
  <cols>
    <col min="1" max="1" width="36.0666666666667" customWidth="1"/>
    <col min="2" max="2" width="12.5333333333333" customWidth="1"/>
    <col min="3" max="3" width="14.1666666666667" customWidth="1"/>
    <col min="4" max="4" width="20.5333333333333" customWidth="1"/>
    <col min="5" max="5" width="8.16666666666667" style="11" customWidth="1"/>
    <col min="6" max="7" width="16.0666666666667" customWidth="1"/>
    <col min="8" max="10" width="17.2" customWidth="1"/>
    <col min="11" max="11" width="17.4" customWidth="1"/>
    <col min="12" max="17" width="17.2" customWidth="1"/>
    <col min="18" max="18" width="17.4" customWidth="1"/>
    <col min="19" max="26" width="17.2" customWidth="1"/>
    <col min="27" max="27" width="17.4" customWidth="1"/>
    <col min="28" max="29" width="17.2" customWidth="1"/>
    <col min="30" max="30" width="12.5" customWidth="1"/>
    <col min="31" max="32" width="13" customWidth="1"/>
    <col min="33" max="33" width="11.8333333333333" customWidth="1"/>
  </cols>
  <sheetData>
    <row r="1" spans="1:6">
      <c r="A1" s="1" t="s">
        <v>0</v>
      </c>
      <c r="B1" s="75">
        <v>45873</v>
      </c>
      <c r="C1" s="13" t="s">
        <v>1</v>
      </c>
      <c r="D1" s="14">
        <v>10000000</v>
      </c>
      <c r="E1" s="37" t="s">
        <v>2</v>
      </c>
      <c r="F1" s="38"/>
    </row>
    <row r="2" ht="18.35" spans="1:6">
      <c r="A2" s="1" t="s">
        <v>3</v>
      </c>
      <c r="B2" s="75">
        <v>45901</v>
      </c>
      <c r="E2" s="39"/>
      <c r="F2" s="40"/>
    </row>
    <row r="3" s="6" customFormat="1" ht="41.75" spans="1:33">
      <c r="A3" s="15" t="s">
        <v>4</v>
      </c>
      <c r="B3" s="16" t="s">
        <v>5</v>
      </c>
      <c r="C3" s="17" t="s">
        <v>6</v>
      </c>
      <c r="D3" s="18" t="s">
        <v>7</v>
      </c>
      <c r="E3" s="41" t="s">
        <v>8</v>
      </c>
      <c r="F3" s="42" t="s">
        <v>9</v>
      </c>
      <c r="G3" s="20" t="s">
        <v>9</v>
      </c>
      <c r="H3" s="20" t="s">
        <v>9</v>
      </c>
      <c r="I3" s="20" t="s">
        <v>9</v>
      </c>
      <c r="J3" s="20" t="s">
        <v>9</v>
      </c>
      <c r="K3" s="20" t="s">
        <v>9</v>
      </c>
      <c r="L3" s="43" t="s">
        <v>9</v>
      </c>
      <c r="M3" s="43" t="s">
        <v>9</v>
      </c>
      <c r="N3" s="43" t="s">
        <v>9</v>
      </c>
      <c r="O3" s="43" t="s">
        <v>9</v>
      </c>
      <c r="P3" s="43" t="s">
        <v>9</v>
      </c>
      <c r="Q3" s="43" t="s">
        <v>9</v>
      </c>
      <c r="R3" s="43" t="s">
        <v>9</v>
      </c>
      <c r="S3" s="43" t="s">
        <v>9</v>
      </c>
      <c r="T3" s="43" t="s">
        <v>9</v>
      </c>
      <c r="U3" s="43" t="s">
        <v>9</v>
      </c>
      <c r="V3" s="43" t="s">
        <v>9</v>
      </c>
      <c r="W3" s="43" t="s">
        <v>9</v>
      </c>
      <c r="X3" s="43" t="s">
        <v>9</v>
      </c>
      <c r="Y3" s="43" t="s">
        <v>9</v>
      </c>
      <c r="Z3" s="43" t="s">
        <v>9</v>
      </c>
      <c r="AA3" s="43" t="s">
        <v>9</v>
      </c>
      <c r="AB3" s="43" t="s">
        <v>9</v>
      </c>
      <c r="AC3" s="43" t="s">
        <v>9</v>
      </c>
      <c r="AD3" s="43"/>
      <c r="AE3" s="43"/>
      <c r="AF3" s="43"/>
      <c r="AG3" s="43"/>
    </row>
    <row r="4" s="6" customFormat="1" ht="21.75" spans="1:33">
      <c r="A4" s="19" t="s">
        <v>10</v>
      </c>
      <c r="B4" s="19"/>
      <c r="C4" s="20" t="s">
        <v>11</v>
      </c>
      <c r="D4" s="21"/>
      <c r="E4" s="44"/>
      <c r="F4" s="45">
        <v>45873</v>
      </c>
      <c r="G4" s="3">
        <v>45874</v>
      </c>
      <c r="H4" s="3">
        <v>45875</v>
      </c>
      <c r="I4" s="3">
        <v>45876</v>
      </c>
      <c r="J4" s="3">
        <v>45877</v>
      </c>
      <c r="K4" s="3">
        <v>45880</v>
      </c>
      <c r="L4" s="3">
        <v>45881</v>
      </c>
      <c r="M4" s="3">
        <v>45882</v>
      </c>
      <c r="N4" s="3">
        <v>45883</v>
      </c>
      <c r="O4" s="3">
        <v>45884</v>
      </c>
      <c r="P4" s="3">
        <v>45887</v>
      </c>
      <c r="Q4" s="3">
        <v>45888</v>
      </c>
      <c r="R4" s="3">
        <v>45889</v>
      </c>
      <c r="S4" s="3">
        <v>45890</v>
      </c>
      <c r="T4" s="3">
        <v>45891</v>
      </c>
      <c r="U4" s="3">
        <v>45894</v>
      </c>
      <c r="V4" s="3">
        <v>45895</v>
      </c>
      <c r="W4" s="3">
        <v>45896</v>
      </c>
      <c r="X4" s="3">
        <v>45897</v>
      </c>
      <c r="Y4" s="3">
        <v>45898</v>
      </c>
      <c r="Z4" s="3">
        <v>45901</v>
      </c>
      <c r="AA4" s="3">
        <v>45902</v>
      </c>
      <c r="AB4" s="3">
        <v>45903</v>
      </c>
      <c r="AC4" s="3">
        <v>45904</v>
      </c>
      <c r="AD4" s="3"/>
      <c r="AE4" s="3"/>
      <c r="AF4" s="3"/>
      <c r="AG4" s="3"/>
    </row>
    <row r="5" spans="1:32">
      <c r="A5" t="s">
        <v>12</v>
      </c>
      <c r="B5" s="1" t="s">
        <v>13</v>
      </c>
      <c r="C5" s="23">
        <v>0</v>
      </c>
      <c r="D5" s="24">
        <f>$D$1*C5</f>
        <v>0</v>
      </c>
      <c r="E5" s="47">
        <f t="shared" ref="E5:E25" si="0">ROUNDDOWN(D5/F5,0)</f>
        <v>0</v>
      </c>
      <c r="F5" s="48">
        <v>255</v>
      </c>
      <c r="G5" s="49">
        <v>255.4</v>
      </c>
      <c r="H5" s="49">
        <v>248.6</v>
      </c>
      <c r="I5" s="49">
        <v>249.1</v>
      </c>
      <c r="J5" s="49">
        <v>246.4</v>
      </c>
      <c r="K5" s="49">
        <v>246.3</v>
      </c>
      <c r="L5" s="49">
        <v>246.4</v>
      </c>
      <c r="M5" s="73">
        <v>249.7</v>
      </c>
      <c r="N5" s="73">
        <v>250.1</v>
      </c>
      <c r="O5" s="73">
        <v>256</v>
      </c>
      <c r="P5" s="73">
        <v>256</v>
      </c>
      <c r="Q5" s="73">
        <v>260.2</v>
      </c>
      <c r="R5" s="73">
        <v>262.4</v>
      </c>
      <c r="S5" s="73">
        <v>262.5</v>
      </c>
      <c r="T5" s="73">
        <v>261.5</v>
      </c>
      <c r="U5" s="73">
        <v>259.9</v>
      </c>
      <c r="V5" s="73">
        <v>259.2</v>
      </c>
      <c r="W5" s="73">
        <v>262.6</v>
      </c>
      <c r="X5" s="73">
        <v>261</v>
      </c>
      <c r="Y5" s="73">
        <v>260.3</v>
      </c>
      <c r="Z5" s="73">
        <v>260.2</v>
      </c>
      <c r="AA5" s="73">
        <v>262</v>
      </c>
      <c r="AB5" s="73">
        <v>269.5</v>
      </c>
      <c r="AC5" s="73">
        <v>275.7</v>
      </c>
      <c r="AD5" s="73"/>
      <c r="AE5" s="73"/>
      <c r="AF5" s="73"/>
    </row>
    <row r="6" spans="1:32">
      <c r="A6" t="s">
        <v>14</v>
      </c>
      <c r="B6" s="1" t="s">
        <v>15</v>
      </c>
      <c r="C6" s="23">
        <v>0</v>
      </c>
      <c r="D6" s="24">
        <f t="shared" ref="D6:D24" si="1">$D$1*C6</f>
        <v>0</v>
      </c>
      <c r="E6" s="47">
        <f t="shared" si="0"/>
        <v>0</v>
      </c>
      <c r="F6" s="48">
        <v>71.3</v>
      </c>
      <c r="G6" s="49">
        <v>71.98</v>
      </c>
      <c r="H6" s="49">
        <v>71.36</v>
      </c>
      <c r="I6" s="49">
        <v>72.07</v>
      </c>
      <c r="J6" s="49">
        <v>72.1</v>
      </c>
      <c r="K6" s="49">
        <v>72.12</v>
      </c>
      <c r="L6" s="49">
        <v>71.69</v>
      </c>
      <c r="M6" s="73">
        <v>72.19</v>
      </c>
      <c r="N6" s="73">
        <v>72.07</v>
      </c>
      <c r="O6" s="73">
        <v>72.34</v>
      </c>
      <c r="P6" s="73">
        <v>72.21</v>
      </c>
      <c r="Q6" s="73">
        <v>73.52</v>
      </c>
      <c r="R6" s="73">
        <v>76.14</v>
      </c>
      <c r="S6" s="73">
        <v>75.87</v>
      </c>
      <c r="T6" s="73">
        <v>75.36</v>
      </c>
      <c r="U6" s="73">
        <v>74.88</v>
      </c>
      <c r="V6" s="73">
        <v>74.47</v>
      </c>
      <c r="W6" s="73">
        <v>74.15</v>
      </c>
      <c r="X6" s="73">
        <v>74.9</v>
      </c>
      <c r="Y6" s="73">
        <v>75.39</v>
      </c>
      <c r="Z6" s="73">
        <v>75.49</v>
      </c>
      <c r="AA6" s="73">
        <v>74.93</v>
      </c>
      <c r="AB6" s="73">
        <v>74.71</v>
      </c>
      <c r="AC6" s="73">
        <v>75.89</v>
      </c>
      <c r="AD6" s="73"/>
      <c r="AE6" s="73"/>
      <c r="AF6" s="73"/>
    </row>
    <row r="7" spans="1:32">
      <c r="A7" t="s">
        <v>16</v>
      </c>
      <c r="B7" s="1" t="s">
        <v>17</v>
      </c>
      <c r="C7" s="23">
        <v>0</v>
      </c>
      <c r="D7" s="24">
        <f t="shared" si="1"/>
        <v>0</v>
      </c>
      <c r="E7" s="47">
        <f t="shared" si="0"/>
        <v>0</v>
      </c>
      <c r="F7" s="48">
        <v>94.58</v>
      </c>
      <c r="G7" s="49">
        <v>95.47</v>
      </c>
      <c r="H7" s="49">
        <v>92.37</v>
      </c>
      <c r="I7" s="49">
        <v>93.05</v>
      </c>
      <c r="J7" s="49">
        <v>94.06</v>
      </c>
      <c r="K7" s="49">
        <v>96.02</v>
      </c>
      <c r="L7" s="49">
        <v>96.23</v>
      </c>
      <c r="M7" s="73">
        <v>97.52</v>
      </c>
      <c r="N7" s="73">
        <v>98.57</v>
      </c>
      <c r="O7" s="73">
        <v>99.49</v>
      </c>
      <c r="P7" s="73">
        <v>100.22</v>
      </c>
      <c r="Q7" s="73">
        <v>100.9</v>
      </c>
      <c r="R7" s="73">
        <v>102.36</v>
      </c>
      <c r="S7" s="73">
        <v>102.86</v>
      </c>
      <c r="T7" s="73">
        <v>101.96</v>
      </c>
      <c r="U7" s="73">
        <v>101.24</v>
      </c>
      <c r="V7" s="73">
        <v>101.28</v>
      </c>
      <c r="W7" s="73">
        <v>101.98</v>
      </c>
      <c r="X7" s="73">
        <v>101.54</v>
      </c>
      <c r="Y7" s="73">
        <v>101.16</v>
      </c>
      <c r="Z7" s="73">
        <v>101.54</v>
      </c>
      <c r="AA7" s="73">
        <v>101.2</v>
      </c>
      <c r="AB7" s="73">
        <v>103.08</v>
      </c>
      <c r="AC7" s="73">
        <v>103.92</v>
      </c>
      <c r="AD7" s="73"/>
      <c r="AE7" s="73"/>
      <c r="AF7" s="73"/>
    </row>
    <row r="8" spans="1:32">
      <c r="A8" t="s">
        <v>18</v>
      </c>
      <c r="B8" s="1" t="s">
        <v>19</v>
      </c>
      <c r="C8" s="23">
        <v>0.166666666666665</v>
      </c>
      <c r="D8" s="24">
        <f t="shared" si="1"/>
        <v>1666666.66666665</v>
      </c>
      <c r="E8" s="47">
        <f t="shared" si="0"/>
        <v>31387</v>
      </c>
      <c r="F8" s="48">
        <v>53.1</v>
      </c>
      <c r="G8" s="49">
        <v>53.02</v>
      </c>
      <c r="H8" s="49">
        <v>52.48</v>
      </c>
      <c r="I8" s="49">
        <v>53.28</v>
      </c>
      <c r="J8" s="49">
        <v>53.78</v>
      </c>
      <c r="K8" s="49">
        <v>53.26</v>
      </c>
      <c r="L8" s="49">
        <v>54.12</v>
      </c>
      <c r="M8" s="73">
        <v>53.86</v>
      </c>
      <c r="N8" s="73">
        <v>54.1</v>
      </c>
      <c r="O8" s="73">
        <v>53.86</v>
      </c>
      <c r="P8" s="73">
        <v>53.74</v>
      </c>
      <c r="Q8" s="73">
        <v>54.28</v>
      </c>
      <c r="R8" s="73">
        <v>53.6</v>
      </c>
      <c r="S8" s="73">
        <v>53.42</v>
      </c>
      <c r="T8" s="73">
        <v>54.18</v>
      </c>
      <c r="U8" s="73">
        <v>53.88</v>
      </c>
      <c r="V8" s="73">
        <v>54.08</v>
      </c>
      <c r="W8" s="73">
        <v>53.8</v>
      </c>
      <c r="X8" s="73">
        <v>54.38</v>
      </c>
      <c r="Y8" s="73">
        <v>53.68</v>
      </c>
      <c r="Z8" s="73">
        <v>53.74</v>
      </c>
      <c r="AA8" s="73">
        <v>52.76</v>
      </c>
      <c r="AB8" s="73">
        <v>53.54</v>
      </c>
      <c r="AC8" s="73">
        <v>55.06</v>
      </c>
      <c r="AD8" s="73"/>
      <c r="AE8" s="73"/>
      <c r="AF8" s="73"/>
    </row>
    <row r="9" spans="1:32">
      <c r="A9" t="s">
        <v>20</v>
      </c>
      <c r="B9" s="1" t="s">
        <v>21</v>
      </c>
      <c r="C9" s="23">
        <v>0</v>
      </c>
      <c r="D9" s="24">
        <f t="shared" si="1"/>
        <v>0</v>
      </c>
      <c r="E9" s="47">
        <f t="shared" si="0"/>
        <v>0</v>
      </c>
      <c r="F9" s="48">
        <v>30.22</v>
      </c>
      <c r="G9" s="49">
        <v>30.17</v>
      </c>
      <c r="H9" s="49">
        <v>30.69</v>
      </c>
      <c r="I9" s="49">
        <v>31.48</v>
      </c>
      <c r="J9" s="49">
        <v>31.94</v>
      </c>
      <c r="K9" s="49">
        <v>31.91</v>
      </c>
      <c r="L9" s="49">
        <v>31.86</v>
      </c>
      <c r="M9" s="73">
        <v>31.86</v>
      </c>
      <c r="N9" s="73">
        <v>32.08</v>
      </c>
      <c r="O9" s="73">
        <v>32.24</v>
      </c>
      <c r="P9" s="73">
        <v>32.1</v>
      </c>
      <c r="Q9" s="73">
        <v>32.13</v>
      </c>
      <c r="R9" s="73">
        <v>31.91</v>
      </c>
      <c r="S9" s="73">
        <v>31.88</v>
      </c>
      <c r="T9" s="73">
        <v>32.32</v>
      </c>
      <c r="U9" s="73">
        <v>32.38</v>
      </c>
      <c r="V9" s="73">
        <v>32.28</v>
      </c>
      <c r="W9" s="73">
        <v>32.34</v>
      </c>
      <c r="X9" s="73">
        <v>32.58</v>
      </c>
      <c r="Y9" s="73">
        <v>32.38</v>
      </c>
      <c r="Z9" s="73">
        <v>32.33</v>
      </c>
      <c r="AA9" s="73">
        <v>31.64</v>
      </c>
      <c r="AB9" s="73">
        <v>31.82</v>
      </c>
      <c r="AC9" s="73">
        <v>32.44</v>
      </c>
      <c r="AD9" s="73"/>
      <c r="AE9" s="73"/>
      <c r="AF9" s="73"/>
    </row>
    <row r="10" spans="1:32">
      <c r="A10" t="s">
        <v>22</v>
      </c>
      <c r="B10" s="1" t="s">
        <v>23</v>
      </c>
      <c r="C10" s="23">
        <v>0</v>
      </c>
      <c r="D10" s="24">
        <f t="shared" si="1"/>
        <v>0</v>
      </c>
      <c r="E10" s="47">
        <f t="shared" si="0"/>
        <v>0</v>
      </c>
      <c r="F10" s="48">
        <v>563.6</v>
      </c>
      <c r="G10" s="49">
        <v>568</v>
      </c>
      <c r="H10" s="49">
        <v>578.4</v>
      </c>
      <c r="I10" s="49">
        <v>577.8</v>
      </c>
      <c r="J10" s="49">
        <v>574</v>
      </c>
      <c r="K10" s="49">
        <v>571.2</v>
      </c>
      <c r="L10" s="49">
        <v>573.6</v>
      </c>
      <c r="M10" s="73">
        <v>581.8</v>
      </c>
      <c r="N10" s="73">
        <v>590</v>
      </c>
      <c r="O10" s="73">
        <v>591</v>
      </c>
      <c r="P10" s="73">
        <v>588</v>
      </c>
      <c r="Q10" s="73">
        <v>588.6</v>
      </c>
      <c r="R10" s="73">
        <v>596.4</v>
      </c>
      <c r="S10" s="73">
        <v>596.2</v>
      </c>
      <c r="T10" s="73">
        <v>593</v>
      </c>
      <c r="U10" s="73">
        <v>590</v>
      </c>
      <c r="V10" s="73">
        <v>579.8</v>
      </c>
      <c r="W10" s="73">
        <v>580.8</v>
      </c>
      <c r="X10" s="73">
        <v>579.6</v>
      </c>
      <c r="Y10" s="73">
        <v>584.4</v>
      </c>
      <c r="Z10" s="73">
        <v>577.8</v>
      </c>
      <c r="AA10" s="73">
        <v>573.6</v>
      </c>
      <c r="AB10" s="73">
        <v>569.6</v>
      </c>
      <c r="AC10" s="73">
        <v>579.2</v>
      </c>
      <c r="AD10" s="73"/>
      <c r="AE10" s="73"/>
      <c r="AF10" s="73"/>
    </row>
    <row r="11" spans="1:32">
      <c r="A11" t="s">
        <v>24</v>
      </c>
      <c r="B11" s="1" t="s">
        <v>25</v>
      </c>
      <c r="C11" s="23">
        <v>0.166666666666665</v>
      </c>
      <c r="D11" s="24">
        <f t="shared" si="1"/>
        <v>1666666.66666665</v>
      </c>
      <c r="E11" s="47">
        <f t="shared" si="0"/>
        <v>12655</v>
      </c>
      <c r="F11" s="48">
        <v>131.7</v>
      </c>
      <c r="G11" s="49">
        <v>131.65</v>
      </c>
      <c r="H11" s="49">
        <v>130.4</v>
      </c>
      <c r="I11" s="49">
        <v>131.25</v>
      </c>
      <c r="J11" s="49">
        <v>131.9</v>
      </c>
      <c r="K11" s="49">
        <v>130.1</v>
      </c>
      <c r="L11" s="49">
        <v>130.15</v>
      </c>
      <c r="M11" s="73">
        <v>131.8</v>
      </c>
      <c r="N11" s="73">
        <v>132.4</v>
      </c>
      <c r="O11" s="73">
        <v>131.8</v>
      </c>
      <c r="P11" s="73">
        <v>131.8</v>
      </c>
      <c r="Q11" s="73">
        <v>135.75</v>
      </c>
      <c r="R11" s="73">
        <v>134.8</v>
      </c>
      <c r="S11" s="73">
        <v>133.85</v>
      </c>
      <c r="T11" s="73">
        <v>136.15</v>
      </c>
      <c r="U11" s="73">
        <v>135.15</v>
      </c>
      <c r="V11" s="73">
        <v>134.3</v>
      </c>
      <c r="W11" s="73">
        <v>138.95</v>
      </c>
      <c r="X11" s="73">
        <v>141.25</v>
      </c>
      <c r="Y11" s="73">
        <v>139.75</v>
      </c>
      <c r="Z11" s="73">
        <v>138.85</v>
      </c>
      <c r="AA11" s="73">
        <v>139</v>
      </c>
      <c r="AB11" s="73">
        <v>141.3</v>
      </c>
      <c r="AC11" s="73">
        <v>141.45</v>
      </c>
      <c r="AD11" s="73"/>
      <c r="AE11" s="73"/>
      <c r="AF11" s="73"/>
    </row>
    <row r="12" spans="1:32">
      <c r="A12" t="s">
        <v>26</v>
      </c>
      <c r="B12" s="1" t="s">
        <v>27</v>
      </c>
      <c r="C12" s="23">
        <v>0</v>
      </c>
      <c r="D12" s="24">
        <f t="shared" si="1"/>
        <v>0</v>
      </c>
      <c r="E12" s="47">
        <f t="shared" si="0"/>
        <v>0</v>
      </c>
      <c r="F12" s="48">
        <v>148.1</v>
      </c>
      <c r="G12" s="49">
        <v>149.65</v>
      </c>
      <c r="H12" s="49">
        <v>153.25</v>
      </c>
      <c r="I12" s="49">
        <v>154.65</v>
      </c>
      <c r="J12" s="49">
        <v>149.7</v>
      </c>
      <c r="K12" s="49">
        <v>150.8</v>
      </c>
      <c r="L12" s="49">
        <v>149.05</v>
      </c>
      <c r="M12" s="73">
        <v>150.65</v>
      </c>
      <c r="N12" s="73">
        <v>145.45</v>
      </c>
      <c r="O12" s="73">
        <v>146.2</v>
      </c>
      <c r="P12" s="73">
        <v>145.75</v>
      </c>
      <c r="Q12" s="73">
        <v>147.05</v>
      </c>
      <c r="R12" s="73">
        <v>149</v>
      </c>
      <c r="S12" s="73">
        <v>148</v>
      </c>
      <c r="T12" s="73">
        <v>147.05</v>
      </c>
      <c r="U12" s="73">
        <v>146.15</v>
      </c>
      <c r="V12" s="73">
        <v>144.9</v>
      </c>
      <c r="W12" s="73">
        <v>145</v>
      </c>
      <c r="X12" s="73">
        <v>144.85</v>
      </c>
      <c r="Y12" s="73">
        <v>144.9</v>
      </c>
      <c r="Z12" s="73">
        <v>142.4</v>
      </c>
      <c r="AA12" s="73">
        <v>141.4</v>
      </c>
      <c r="AB12" s="73">
        <v>140.45</v>
      </c>
      <c r="AC12" s="73">
        <v>142.65</v>
      </c>
      <c r="AD12" s="73"/>
      <c r="AE12" s="73"/>
      <c r="AF12" s="73"/>
    </row>
    <row r="13" spans="1:32">
      <c r="A13" t="s">
        <v>28</v>
      </c>
      <c r="B13" s="1" t="s">
        <v>29</v>
      </c>
      <c r="C13" s="23">
        <v>0</v>
      </c>
      <c r="D13" s="24">
        <f t="shared" si="1"/>
        <v>0</v>
      </c>
      <c r="E13" s="47">
        <f t="shared" si="0"/>
        <v>0</v>
      </c>
      <c r="F13" s="48">
        <v>565.6</v>
      </c>
      <c r="G13" s="49">
        <v>557.6</v>
      </c>
      <c r="H13" s="49">
        <v>545.4</v>
      </c>
      <c r="I13" s="49">
        <v>549.8</v>
      </c>
      <c r="J13" s="49">
        <v>544.6</v>
      </c>
      <c r="K13" s="49">
        <v>541.2</v>
      </c>
      <c r="L13" s="49">
        <v>546</v>
      </c>
      <c r="M13" s="73">
        <v>550.6</v>
      </c>
      <c r="N13" s="73">
        <v>551.6</v>
      </c>
      <c r="O13" s="73">
        <v>554.4</v>
      </c>
      <c r="P13" s="73">
        <v>555.8</v>
      </c>
      <c r="Q13" s="73">
        <v>560.2</v>
      </c>
      <c r="R13" s="73">
        <v>572.2</v>
      </c>
      <c r="S13" s="73">
        <v>567</v>
      </c>
      <c r="T13" s="73">
        <v>566.6</v>
      </c>
      <c r="U13" s="73">
        <v>572.8</v>
      </c>
      <c r="V13" s="73">
        <v>578.2</v>
      </c>
      <c r="W13" s="73">
        <v>572.4</v>
      </c>
      <c r="X13" s="73">
        <v>569.6</v>
      </c>
      <c r="Y13" s="73">
        <v>567</v>
      </c>
      <c r="Z13" s="73">
        <v>571</v>
      </c>
      <c r="AA13" s="73">
        <v>563.6</v>
      </c>
      <c r="AB13" s="73">
        <v>570.6</v>
      </c>
      <c r="AC13" s="73">
        <v>578.2</v>
      </c>
      <c r="AD13" s="73"/>
      <c r="AE13" s="73"/>
      <c r="AF13" s="73"/>
    </row>
    <row r="14" spans="1:32">
      <c r="A14" t="s">
        <v>30</v>
      </c>
      <c r="B14" s="1" t="s">
        <v>31</v>
      </c>
      <c r="C14" s="23">
        <v>0.166666666666665</v>
      </c>
      <c r="D14" s="24">
        <f t="shared" si="1"/>
        <v>1666666.66666665</v>
      </c>
      <c r="E14" s="47">
        <f t="shared" si="0"/>
        <v>25617</v>
      </c>
      <c r="F14" s="48">
        <v>65.06</v>
      </c>
      <c r="G14" s="49">
        <v>65</v>
      </c>
      <c r="H14" s="49">
        <v>67.02</v>
      </c>
      <c r="I14" s="49">
        <v>67.5</v>
      </c>
      <c r="J14" s="49">
        <v>68.1</v>
      </c>
      <c r="K14" s="49">
        <v>67.28</v>
      </c>
      <c r="L14" s="49">
        <v>67.92</v>
      </c>
      <c r="M14" s="73">
        <v>67.9</v>
      </c>
      <c r="N14" s="73">
        <v>67.62</v>
      </c>
      <c r="O14" s="73">
        <v>67.6</v>
      </c>
      <c r="P14" s="73">
        <v>67.34</v>
      </c>
      <c r="Q14" s="73">
        <v>67.72</v>
      </c>
      <c r="R14" s="73">
        <v>67.12</v>
      </c>
      <c r="S14" s="73">
        <v>67.02</v>
      </c>
      <c r="T14" s="73">
        <v>67.06</v>
      </c>
      <c r="U14" s="73">
        <v>66.64</v>
      </c>
      <c r="V14" s="73">
        <v>66.58</v>
      </c>
      <c r="W14" s="73">
        <v>66.5</v>
      </c>
      <c r="X14" s="73">
        <v>67</v>
      </c>
      <c r="Y14" s="73">
        <v>67</v>
      </c>
      <c r="Z14" s="73">
        <v>66.64</v>
      </c>
      <c r="AA14" s="73">
        <v>65.74</v>
      </c>
      <c r="AB14" s="73">
        <v>65.08</v>
      </c>
      <c r="AC14" s="73">
        <v>66.5</v>
      </c>
      <c r="AD14" s="73"/>
      <c r="AE14" s="73"/>
      <c r="AF14" s="73"/>
    </row>
    <row r="15" spans="1:32">
      <c r="A15" t="s">
        <v>32</v>
      </c>
      <c r="B15" s="1" t="s">
        <v>33</v>
      </c>
      <c r="C15" s="23">
        <v>0</v>
      </c>
      <c r="D15" s="24">
        <f t="shared" si="1"/>
        <v>0</v>
      </c>
      <c r="E15" s="47">
        <f t="shared" si="0"/>
        <v>0</v>
      </c>
      <c r="F15" s="48">
        <v>71</v>
      </c>
      <c r="G15" s="49">
        <v>70.6</v>
      </c>
      <c r="H15" s="49">
        <v>68.12</v>
      </c>
      <c r="I15" s="49">
        <v>68.68</v>
      </c>
      <c r="J15" s="49">
        <v>69.1</v>
      </c>
      <c r="K15" s="49">
        <v>69.06</v>
      </c>
      <c r="L15" s="49">
        <v>69.2</v>
      </c>
      <c r="M15" s="73">
        <v>70.06</v>
      </c>
      <c r="N15" s="73">
        <v>69.44</v>
      </c>
      <c r="O15" s="73">
        <v>70.54</v>
      </c>
      <c r="P15" s="73">
        <v>71.52</v>
      </c>
      <c r="Q15" s="73">
        <v>72.36</v>
      </c>
      <c r="R15" s="73">
        <v>65.56</v>
      </c>
      <c r="S15" s="73">
        <v>63.88</v>
      </c>
      <c r="T15" s="73">
        <v>65.8</v>
      </c>
      <c r="U15" s="73">
        <v>65.48</v>
      </c>
      <c r="V15" s="73">
        <v>65.26</v>
      </c>
      <c r="W15" s="73">
        <v>65.54</v>
      </c>
      <c r="X15" s="73">
        <v>63.76</v>
      </c>
      <c r="Y15" s="73">
        <v>63.66</v>
      </c>
      <c r="Z15" s="73">
        <v>64.02</v>
      </c>
      <c r="AA15" s="73">
        <v>63</v>
      </c>
      <c r="AB15" s="73">
        <v>62.84</v>
      </c>
      <c r="AC15" s="73">
        <v>63.46</v>
      </c>
      <c r="AD15" s="73"/>
      <c r="AE15" s="73"/>
      <c r="AF15" s="73"/>
    </row>
    <row r="16" spans="1:32">
      <c r="A16" t="s">
        <v>34</v>
      </c>
      <c r="B16" s="1" t="s">
        <v>35</v>
      </c>
      <c r="C16" s="23">
        <v>0</v>
      </c>
      <c r="D16" s="24">
        <f t="shared" si="1"/>
        <v>0</v>
      </c>
      <c r="E16" s="47">
        <f t="shared" si="0"/>
        <v>0</v>
      </c>
      <c r="F16" s="48">
        <v>3426</v>
      </c>
      <c r="G16" s="49">
        <v>3428</v>
      </c>
      <c r="H16" s="49">
        <v>3412</v>
      </c>
      <c r="I16" s="49">
        <v>3415</v>
      </c>
      <c r="J16" s="49">
        <v>3396</v>
      </c>
      <c r="K16" s="49">
        <v>3363</v>
      </c>
      <c r="L16" s="49">
        <v>3366</v>
      </c>
      <c r="M16" s="73">
        <v>3335</v>
      </c>
      <c r="N16" s="73">
        <v>3320</v>
      </c>
      <c r="O16" s="73">
        <v>3326</v>
      </c>
      <c r="P16" s="73">
        <v>3345</v>
      </c>
      <c r="Q16" s="73">
        <v>3375</v>
      </c>
      <c r="R16" s="73">
        <v>3460</v>
      </c>
      <c r="S16" s="73">
        <v>3412</v>
      </c>
      <c r="T16" s="73">
        <v>3430</v>
      </c>
      <c r="U16" s="73">
        <v>3404</v>
      </c>
      <c r="V16" s="73">
        <v>3405</v>
      </c>
      <c r="W16" s="73">
        <v>3379</v>
      </c>
      <c r="X16" s="73">
        <v>3381</v>
      </c>
      <c r="Y16" s="73">
        <v>3370</v>
      </c>
      <c r="Z16" s="73">
        <v>3392</v>
      </c>
      <c r="AA16" s="73">
        <v>3398</v>
      </c>
      <c r="AB16" s="73">
        <v>3440</v>
      </c>
      <c r="AC16" s="73">
        <v>3483</v>
      </c>
      <c r="AD16" s="73"/>
      <c r="AE16" s="73"/>
      <c r="AF16" s="73"/>
    </row>
    <row r="17" spans="1:32">
      <c r="A17" t="s">
        <v>36</v>
      </c>
      <c r="B17" s="1" t="s">
        <v>37</v>
      </c>
      <c r="C17" s="23">
        <v>0</v>
      </c>
      <c r="D17" s="24">
        <f t="shared" si="1"/>
        <v>0</v>
      </c>
      <c r="E17" s="47">
        <f t="shared" si="0"/>
        <v>0</v>
      </c>
      <c r="F17" s="48">
        <v>190</v>
      </c>
      <c r="G17" s="49">
        <v>189.5</v>
      </c>
      <c r="H17" s="49">
        <v>189.7</v>
      </c>
      <c r="I17" s="49">
        <v>192.1</v>
      </c>
      <c r="J17" s="49">
        <v>193</v>
      </c>
      <c r="K17" s="49">
        <v>190.1</v>
      </c>
      <c r="L17" s="49">
        <v>190.3</v>
      </c>
      <c r="M17" s="73">
        <v>189.5</v>
      </c>
      <c r="N17" s="73">
        <v>189.1</v>
      </c>
      <c r="O17" s="73">
        <v>189.1</v>
      </c>
      <c r="P17" s="73">
        <v>188.1</v>
      </c>
      <c r="Q17" s="73">
        <v>192.1</v>
      </c>
      <c r="R17" s="73">
        <v>190.8</v>
      </c>
      <c r="S17" s="73">
        <v>188.65</v>
      </c>
      <c r="T17" s="73">
        <v>190.45</v>
      </c>
      <c r="U17" s="73">
        <v>189.7</v>
      </c>
      <c r="V17" s="73">
        <v>187.85</v>
      </c>
      <c r="W17" s="73">
        <v>186.75</v>
      </c>
      <c r="X17" s="73">
        <v>187.5</v>
      </c>
      <c r="Y17" s="73">
        <v>185.5</v>
      </c>
      <c r="Z17" s="73">
        <v>185.25</v>
      </c>
      <c r="AA17" s="73">
        <v>180.9</v>
      </c>
      <c r="AB17" s="73">
        <v>182.4</v>
      </c>
      <c r="AC17" s="73">
        <v>184.15</v>
      </c>
      <c r="AD17" s="73"/>
      <c r="AE17" s="73"/>
      <c r="AF17" s="73"/>
    </row>
    <row r="18" spans="1:32">
      <c r="A18" t="s">
        <v>38</v>
      </c>
      <c r="B18" s="1" t="s">
        <v>39</v>
      </c>
      <c r="C18" s="23">
        <v>0</v>
      </c>
      <c r="D18" s="24">
        <f t="shared" si="1"/>
        <v>0</v>
      </c>
      <c r="E18" s="47">
        <f t="shared" si="0"/>
        <v>0</v>
      </c>
      <c r="F18" s="48">
        <v>581</v>
      </c>
      <c r="G18" s="49">
        <v>580</v>
      </c>
      <c r="H18" s="49">
        <v>580</v>
      </c>
      <c r="I18" s="49">
        <v>576.5</v>
      </c>
      <c r="J18" s="49">
        <v>578.5</v>
      </c>
      <c r="K18" s="49">
        <v>584.5</v>
      </c>
      <c r="L18" s="49">
        <v>582</v>
      </c>
      <c r="M18" s="73">
        <v>583</v>
      </c>
      <c r="N18" s="73">
        <v>582</v>
      </c>
      <c r="O18" s="73">
        <v>578</v>
      </c>
      <c r="P18" s="73">
        <v>582</v>
      </c>
      <c r="Q18" s="73">
        <v>586</v>
      </c>
      <c r="R18" s="73">
        <v>592.5</v>
      </c>
      <c r="S18" s="73">
        <v>593.5</v>
      </c>
      <c r="T18" s="73">
        <v>591.5</v>
      </c>
      <c r="U18" s="73">
        <v>591.5</v>
      </c>
      <c r="V18" s="73">
        <v>592</v>
      </c>
      <c r="W18" s="73">
        <v>591.5</v>
      </c>
      <c r="X18" s="73">
        <v>574.5</v>
      </c>
      <c r="Y18" s="73">
        <v>578</v>
      </c>
      <c r="Z18" s="73">
        <v>581</v>
      </c>
      <c r="AA18" s="73">
        <v>581</v>
      </c>
      <c r="AB18" s="73">
        <v>577</v>
      </c>
      <c r="AC18" s="73">
        <v>585.5</v>
      </c>
      <c r="AD18" s="73"/>
      <c r="AE18" s="73"/>
      <c r="AF18" s="73"/>
    </row>
    <row r="19" spans="1:32">
      <c r="A19" t="s">
        <v>40</v>
      </c>
      <c r="B19" s="1" t="s">
        <v>41</v>
      </c>
      <c r="C19" s="23">
        <v>0</v>
      </c>
      <c r="D19" s="24">
        <f t="shared" si="1"/>
        <v>0</v>
      </c>
      <c r="E19" s="47">
        <f t="shared" si="0"/>
        <v>0</v>
      </c>
      <c r="F19" s="48">
        <v>1092</v>
      </c>
      <c r="G19" s="49">
        <v>1094</v>
      </c>
      <c r="H19" s="49">
        <v>1110</v>
      </c>
      <c r="I19" s="49">
        <v>1128.5</v>
      </c>
      <c r="J19" s="49">
        <v>1141</v>
      </c>
      <c r="K19" s="49">
        <v>1140</v>
      </c>
      <c r="L19" s="49">
        <v>1133.5</v>
      </c>
      <c r="M19" s="73">
        <v>1122</v>
      </c>
      <c r="N19" s="73">
        <v>1103</v>
      </c>
      <c r="O19" s="73">
        <v>1106</v>
      </c>
      <c r="P19" s="73">
        <v>1106.5</v>
      </c>
      <c r="Q19" s="73">
        <v>1124.5</v>
      </c>
      <c r="R19" s="73">
        <v>1114</v>
      </c>
      <c r="S19" s="73">
        <v>1105</v>
      </c>
      <c r="T19" s="73">
        <v>1132.5</v>
      </c>
      <c r="U19" s="73">
        <v>1128</v>
      </c>
      <c r="V19" s="73">
        <v>1107</v>
      </c>
      <c r="W19" s="73">
        <v>1113.5</v>
      </c>
      <c r="X19" s="73">
        <v>1115</v>
      </c>
      <c r="Y19" s="73">
        <v>1097.5</v>
      </c>
      <c r="Z19" s="73">
        <v>1096.5</v>
      </c>
      <c r="AA19" s="73">
        <v>1061</v>
      </c>
      <c r="AB19" s="73">
        <v>1072.5</v>
      </c>
      <c r="AC19" s="73">
        <v>1068.5</v>
      </c>
      <c r="AD19" s="73"/>
      <c r="AE19" s="73"/>
      <c r="AF19" s="73"/>
    </row>
    <row r="20" spans="1:32">
      <c r="A20" t="s">
        <v>42</v>
      </c>
      <c r="B20" s="1" t="s">
        <v>43</v>
      </c>
      <c r="C20" s="23">
        <v>0</v>
      </c>
      <c r="D20" s="24">
        <f t="shared" si="1"/>
        <v>0</v>
      </c>
      <c r="E20" s="47">
        <f t="shared" si="0"/>
        <v>0</v>
      </c>
      <c r="F20" s="48">
        <v>853.6</v>
      </c>
      <c r="G20" s="49">
        <v>861</v>
      </c>
      <c r="H20" s="49">
        <v>877.8</v>
      </c>
      <c r="I20" s="49">
        <v>886.6</v>
      </c>
      <c r="J20" s="49">
        <v>883.2</v>
      </c>
      <c r="K20" s="49">
        <v>887.8</v>
      </c>
      <c r="L20" s="49">
        <v>887.2</v>
      </c>
      <c r="M20" s="73">
        <v>890.2</v>
      </c>
      <c r="N20" s="73">
        <v>899.4</v>
      </c>
      <c r="O20" s="73">
        <v>902</v>
      </c>
      <c r="P20" s="73">
        <v>902.4</v>
      </c>
      <c r="Q20" s="73">
        <v>907</v>
      </c>
      <c r="R20" s="73">
        <v>907.2</v>
      </c>
      <c r="S20" s="73">
        <v>906.2</v>
      </c>
      <c r="T20" s="73">
        <v>900.4</v>
      </c>
      <c r="U20" s="73">
        <v>896</v>
      </c>
      <c r="V20" s="73">
        <v>878.2</v>
      </c>
      <c r="W20" s="73">
        <v>876.6</v>
      </c>
      <c r="X20" s="73">
        <v>871.8</v>
      </c>
      <c r="Y20" s="73">
        <v>864</v>
      </c>
      <c r="Z20" s="73">
        <v>856</v>
      </c>
      <c r="AA20" s="73">
        <v>845.6</v>
      </c>
      <c r="AB20" s="73">
        <v>835.4</v>
      </c>
      <c r="AC20" s="73">
        <v>848.4</v>
      </c>
      <c r="AD20" s="73"/>
      <c r="AE20" s="73"/>
      <c r="AF20" s="73"/>
    </row>
    <row r="21" spans="1:32">
      <c r="A21" t="s">
        <v>44</v>
      </c>
      <c r="B21" s="1" t="s">
        <v>45</v>
      </c>
      <c r="C21" s="23">
        <v>0</v>
      </c>
      <c r="D21" s="24">
        <f t="shared" si="1"/>
        <v>0</v>
      </c>
      <c r="E21" s="47">
        <f t="shared" si="0"/>
        <v>0</v>
      </c>
      <c r="F21" s="48">
        <v>629</v>
      </c>
      <c r="G21" s="49">
        <v>629</v>
      </c>
      <c r="H21" s="49">
        <v>625.8</v>
      </c>
      <c r="I21" s="49">
        <v>644.4</v>
      </c>
      <c r="J21" s="49">
        <v>643</v>
      </c>
      <c r="K21" s="49">
        <v>637.2</v>
      </c>
      <c r="L21" s="49">
        <v>639.4</v>
      </c>
      <c r="M21" s="73">
        <v>636.8</v>
      </c>
      <c r="N21" s="73">
        <v>638.2</v>
      </c>
      <c r="O21" s="73">
        <v>636</v>
      </c>
      <c r="P21" s="73">
        <v>627.4</v>
      </c>
      <c r="Q21" s="73">
        <v>632.4</v>
      </c>
      <c r="R21" s="73">
        <v>613.2</v>
      </c>
      <c r="S21" s="73">
        <v>602.2</v>
      </c>
      <c r="T21" s="73">
        <v>606.8</v>
      </c>
      <c r="U21" s="73">
        <v>601.8</v>
      </c>
      <c r="V21" s="73">
        <v>600.2</v>
      </c>
      <c r="W21" s="73">
        <v>596.2</v>
      </c>
      <c r="X21" s="73">
        <v>591.6</v>
      </c>
      <c r="Y21" s="73">
        <v>586.2</v>
      </c>
      <c r="Z21" s="73">
        <v>587.2</v>
      </c>
      <c r="AA21" s="73">
        <v>576.6</v>
      </c>
      <c r="AB21" s="73">
        <v>579.2</v>
      </c>
      <c r="AC21" s="73">
        <v>588.4</v>
      </c>
      <c r="AD21" s="73"/>
      <c r="AE21" s="73"/>
      <c r="AF21" s="73"/>
    </row>
    <row r="22" spans="1:32">
      <c r="A22" t="s">
        <v>46</v>
      </c>
      <c r="B22" s="1" t="s">
        <v>47</v>
      </c>
      <c r="C22" s="23">
        <v>0.166666666666665</v>
      </c>
      <c r="D22" s="24">
        <f t="shared" si="1"/>
        <v>1666666.66666665</v>
      </c>
      <c r="E22" s="47">
        <f t="shared" si="0"/>
        <v>10101</v>
      </c>
      <c r="F22" s="48">
        <v>165</v>
      </c>
      <c r="G22" s="49">
        <v>165.95</v>
      </c>
      <c r="H22" s="49">
        <v>165.65</v>
      </c>
      <c r="I22" s="49">
        <v>169.5</v>
      </c>
      <c r="J22" s="49">
        <v>170.65</v>
      </c>
      <c r="K22" s="49">
        <v>168.6</v>
      </c>
      <c r="L22" s="49">
        <v>170.8</v>
      </c>
      <c r="M22" s="73">
        <v>170.8</v>
      </c>
      <c r="N22" s="73">
        <v>169.55</v>
      </c>
      <c r="O22" s="73">
        <v>168.75</v>
      </c>
      <c r="P22" s="73">
        <v>166.55</v>
      </c>
      <c r="Q22" s="73">
        <v>171.05</v>
      </c>
      <c r="R22" s="73">
        <v>170.7</v>
      </c>
      <c r="S22" s="73">
        <v>167.65</v>
      </c>
      <c r="T22" s="73">
        <v>169.1</v>
      </c>
      <c r="U22" s="73">
        <v>167.15</v>
      </c>
      <c r="V22" s="73">
        <v>167.1</v>
      </c>
      <c r="W22" s="73">
        <v>167.9</v>
      </c>
      <c r="X22" s="73">
        <v>165.65</v>
      </c>
      <c r="Y22" s="73">
        <v>162.8</v>
      </c>
      <c r="Z22" s="73">
        <v>165.2</v>
      </c>
      <c r="AA22" s="73">
        <v>162.25</v>
      </c>
      <c r="AB22" s="73">
        <v>161.3</v>
      </c>
      <c r="AC22" s="73">
        <v>163.4</v>
      </c>
      <c r="AD22" s="73"/>
      <c r="AE22" s="73"/>
      <c r="AF22" s="73"/>
    </row>
    <row r="23" spans="1:32">
      <c r="A23" t="s">
        <v>48</v>
      </c>
      <c r="B23" s="1" t="s">
        <v>49</v>
      </c>
      <c r="C23" s="23">
        <v>0.166666666666665</v>
      </c>
      <c r="D23" s="24">
        <f t="shared" si="1"/>
        <v>1666666.66666665</v>
      </c>
      <c r="E23" s="47">
        <f t="shared" si="0"/>
        <v>7504</v>
      </c>
      <c r="F23" s="48">
        <v>222.1</v>
      </c>
      <c r="G23" s="49">
        <v>221.8</v>
      </c>
      <c r="H23" s="49">
        <v>220.6</v>
      </c>
      <c r="I23" s="49">
        <v>221.6</v>
      </c>
      <c r="J23" s="49">
        <v>224.9</v>
      </c>
      <c r="K23" s="49">
        <v>224</v>
      </c>
      <c r="L23" s="49">
        <v>226</v>
      </c>
      <c r="M23" s="73">
        <v>226</v>
      </c>
      <c r="N23" s="73">
        <v>225.3</v>
      </c>
      <c r="O23" s="73">
        <v>226</v>
      </c>
      <c r="P23" s="73">
        <v>227.3</v>
      </c>
      <c r="Q23" s="73">
        <v>231.3</v>
      </c>
      <c r="R23" s="73">
        <v>232.8</v>
      </c>
      <c r="S23" s="73">
        <v>230.7</v>
      </c>
      <c r="T23" s="73">
        <v>233.2</v>
      </c>
      <c r="U23" s="73">
        <v>231.3</v>
      </c>
      <c r="V23" s="73">
        <v>228.2</v>
      </c>
      <c r="W23" s="73">
        <v>229.3</v>
      </c>
      <c r="X23" s="73">
        <v>231.1</v>
      </c>
      <c r="Y23" s="73">
        <v>232.9</v>
      </c>
      <c r="Z23" s="73">
        <v>233</v>
      </c>
      <c r="AA23" s="73">
        <v>229.1</v>
      </c>
      <c r="AB23" s="73">
        <v>233.1</v>
      </c>
      <c r="AC23" s="73">
        <v>237.6</v>
      </c>
      <c r="AD23" s="73"/>
      <c r="AE23" s="73"/>
      <c r="AF23" s="73"/>
    </row>
    <row r="24" spans="1:32">
      <c r="A24" t="s">
        <v>50</v>
      </c>
      <c r="B24" s="1" t="s">
        <v>51</v>
      </c>
      <c r="C24" s="23">
        <v>0.166666666666665</v>
      </c>
      <c r="D24" s="24">
        <f t="shared" si="1"/>
        <v>1666666.66666665</v>
      </c>
      <c r="E24" s="47">
        <f t="shared" si="0"/>
        <v>22323</v>
      </c>
      <c r="F24" s="48">
        <v>74.66</v>
      </c>
      <c r="G24" s="49">
        <v>76.94</v>
      </c>
      <c r="H24" s="49">
        <v>76.48</v>
      </c>
      <c r="I24" s="49">
        <v>77.9</v>
      </c>
      <c r="J24" s="49">
        <v>79.6</v>
      </c>
      <c r="K24" s="49">
        <v>78.78</v>
      </c>
      <c r="L24" s="49">
        <v>79.86</v>
      </c>
      <c r="M24" s="73">
        <v>79.56</v>
      </c>
      <c r="N24" s="73">
        <v>79.62</v>
      </c>
      <c r="O24" s="73">
        <v>79.22</v>
      </c>
      <c r="P24" s="73">
        <v>79.38</v>
      </c>
      <c r="Q24" s="73">
        <v>80.8</v>
      </c>
      <c r="R24" s="73">
        <v>80</v>
      </c>
      <c r="S24" s="73">
        <v>80.52</v>
      </c>
      <c r="T24" s="73">
        <v>82.6</v>
      </c>
      <c r="U24" s="73">
        <v>82.12</v>
      </c>
      <c r="V24" s="73">
        <v>82.34</v>
      </c>
      <c r="W24" s="73">
        <v>82.56</v>
      </c>
      <c r="X24" s="73">
        <v>83.56</v>
      </c>
      <c r="Y24" s="73">
        <v>82.62</v>
      </c>
      <c r="Z24" s="73">
        <v>83</v>
      </c>
      <c r="AA24" s="73">
        <v>82.12</v>
      </c>
      <c r="AB24" s="73">
        <v>83.5</v>
      </c>
      <c r="AC24" s="73">
        <v>85.4</v>
      </c>
      <c r="AD24" s="73"/>
      <c r="AE24" s="73"/>
      <c r="AF24" s="73"/>
    </row>
    <row r="25" spans="1:29">
      <c r="A25" s="9" t="s">
        <v>52</v>
      </c>
      <c r="B25" s="25" t="s">
        <v>53</v>
      </c>
      <c r="C25" s="26">
        <v>1</v>
      </c>
      <c r="D25" s="27">
        <f>D1</f>
        <v>10000000</v>
      </c>
      <c r="E25" s="50">
        <f t="shared" si="0"/>
        <v>846</v>
      </c>
      <c r="F25" s="51">
        <v>11818.63</v>
      </c>
      <c r="G25" s="52">
        <v>11858.33</v>
      </c>
      <c r="H25" s="52">
        <v>11755.32</v>
      </c>
      <c r="I25" s="52">
        <v>11849.58</v>
      </c>
      <c r="J25" s="9">
        <v>11866.85</v>
      </c>
      <c r="K25" s="9">
        <v>11869.99</v>
      </c>
      <c r="L25" s="9">
        <v>11886.41</v>
      </c>
      <c r="M25" s="9">
        <v>11978.85</v>
      </c>
      <c r="N25" s="9">
        <v>12001.61</v>
      </c>
      <c r="O25" s="9">
        <v>12074.33</v>
      </c>
      <c r="P25" s="9">
        <v>12071.88</v>
      </c>
      <c r="Q25" s="9">
        <v>12212.19</v>
      </c>
      <c r="R25" s="9">
        <v>12276.26</v>
      </c>
      <c r="S25" s="9">
        <v>12241.67</v>
      </c>
      <c r="T25" s="9">
        <v>12264.85</v>
      </c>
      <c r="U25" s="9">
        <v>12206.36</v>
      </c>
      <c r="V25" s="9">
        <v>12160.89</v>
      </c>
      <c r="W25" s="9">
        <v>12207.12</v>
      </c>
      <c r="X25" s="9">
        <v>12219.2</v>
      </c>
      <c r="Y25" s="9">
        <v>12187.58</v>
      </c>
      <c r="Z25" s="9">
        <v>12176.52</v>
      </c>
      <c r="AA25" s="9">
        <v>12088.36</v>
      </c>
      <c r="AB25" s="9">
        <v>12200</v>
      </c>
      <c r="AC25" s="9">
        <v>12383.47</v>
      </c>
    </row>
    <row r="26" s="7" customFormat="1" spans="1:9">
      <c r="A26" s="7" t="s">
        <v>54</v>
      </c>
      <c r="B26" s="76"/>
      <c r="C26" s="77">
        <f>SUM(C5:C24)</f>
        <v>0.999999999999992</v>
      </c>
      <c r="D26" s="78">
        <f>SUM(D5:D24)</f>
        <v>9999999.99999992</v>
      </c>
      <c r="E26" s="50"/>
      <c r="F26" s="51"/>
      <c r="G26" s="56"/>
      <c r="H26" s="56"/>
      <c r="I26" s="56"/>
    </row>
    <row r="27" s="8" customFormat="1" spans="1:10">
      <c r="A27"/>
      <c r="B27" s="1"/>
      <c r="C27" s="23"/>
      <c r="D27" s="32"/>
      <c r="E27" s="57"/>
      <c r="F27" s="58"/>
      <c r="G27" s="49"/>
      <c r="H27" s="49"/>
      <c r="I27" s="49"/>
      <c r="J27"/>
    </row>
    <row r="28" spans="2:32">
      <c r="B28" s="1"/>
      <c r="C28" s="79"/>
      <c r="D28" s="32"/>
      <c r="E28" s="57"/>
      <c r="F28" s="58"/>
      <c r="G28" s="49"/>
      <c r="H28" s="49"/>
      <c r="I28" s="49"/>
      <c r="J28" s="80"/>
      <c r="K28" s="49"/>
      <c r="L28" s="49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</row>
    <row r="29" spans="2:10">
      <c r="B29" s="1"/>
      <c r="C29" s="4"/>
      <c r="D29" s="32"/>
      <c r="E29" s="57"/>
      <c r="F29" s="58"/>
      <c r="G29" s="49"/>
      <c r="H29" s="49"/>
      <c r="I29" s="49"/>
      <c r="J29" s="72"/>
    </row>
    <row r="30" s="7" customFormat="1" spans="1:32">
      <c r="A30" s="7" t="s">
        <v>55</v>
      </c>
      <c r="E30" s="62"/>
      <c r="F30" s="51">
        <v>0</v>
      </c>
      <c r="G30" s="56" cm="1">
        <f t="array" ref="G30">SUMPRODUCT((G5:G24-F5:F24),$E5:$E24)</f>
        <v>53560.4600000002</v>
      </c>
      <c r="H30" s="56" cm="1">
        <f t="array" ref="H30">SUMPRODUCT((H5:H24-G5:G24),$E5:$E24)</f>
        <v>-3325.07000000012</v>
      </c>
      <c r="I30" s="56" cm="1">
        <f t="array" ref="I30">SUMPRODUCT((I5:I24-H5:H24),$E5:$E24)</f>
        <v>126254.02</v>
      </c>
      <c r="J30" s="56" cm="1">
        <f t="array" ref="J30">SUMPRODUCT((J5:J24-I5:I24),$E5:$E24)</f>
        <v>113617.9</v>
      </c>
      <c r="K30" s="56" cm="1">
        <f t="array" ref="K30">SUMPRODUCT((K5:K24-J5:J24),$E5:$E24)</f>
        <v>-105871.69</v>
      </c>
      <c r="L30" s="56" cm="1">
        <f t="array" ref="L30">SUMPRODUCT((L5:L24-K5:K24),$E5:$E24)</f>
        <v>105359.49</v>
      </c>
      <c r="M30" s="56" cm="1">
        <f t="array" ref="M30">SUMPRODUCT((M5:M24-L5:L24),$E5:$E24)</f>
        <v>5510.8900000003</v>
      </c>
      <c r="N30" s="56" cm="1">
        <f t="array" ref="N30">SUMPRODUCT((N5:N24-M5:M24),$E5:$E24)</f>
        <v>-8586.5499999999</v>
      </c>
      <c r="O30" s="56" cm="1">
        <f t="array" ref="O30">SUMPRODUCT((O5:O24-N5:N24),$E5:$E24)</f>
        <v>-27395.4200000006</v>
      </c>
      <c r="P30" s="56" cm="1">
        <f t="array" ref="P30">SUMPRODUCT((P5:P24-O5:O24),$E5:$E24)</f>
        <v>-19322.1799999996</v>
      </c>
      <c r="Q30" s="56" cm="1">
        <f t="array" ref="Q30">SUMPRODUCT((Q5:Q24-P5:P24),$E5:$E24)</f>
        <v>183839.85</v>
      </c>
      <c r="R30" s="56" cm="1">
        <f t="array" ref="R30">SUMPRODUCT((R5:R24-Q5:Q24),$E5:$E24)</f>
        <v>-58873.3599999999</v>
      </c>
      <c r="S30" s="56" cm="1">
        <f t="array" ref="S30">SUMPRODUCT((S5:S24-R5:R24),$E5:$E24)</f>
        <v>-55192.1000000005</v>
      </c>
      <c r="T30" s="56" cm="1">
        <f t="array" ref="T30">SUMPRODUCT((T5:T24-S5:S24),$E5:$E24)</f>
        <v>133823.59</v>
      </c>
      <c r="U30" s="56" cm="1">
        <f t="array" ref="U30">SUMPRODUCT((U5:U24-T5:T24),$E5:$E24)</f>
        <v>-77499.8299999994</v>
      </c>
      <c r="V30" s="56" cm="1">
        <f t="array" ref="V30">SUMPRODUCT((V5:V24-U5:U24),$E5:$E24)</f>
        <v>-24872.7600000004</v>
      </c>
      <c r="W30" s="56" cm="1">
        <f t="array" ref="W30">SUMPRODUCT((W5:W24-V5:V24),$E5:$E24)</f>
        <v>69254.29</v>
      </c>
      <c r="X30" s="56" cm="1">
        <f t="array" ref="X30">SUMPRODUCT((X5:X24-W5:W24),$E5:$E24)</f>
        <v>73222.4100000002</v>
      </c>
      <c r="Y30" s="56" cm="1">
        <f t="array" ref="Y30">SUMPRODUCT((Y5:Y24-X5:X24),$E5:$E24)</f>
        <v>-77217.6699999999</v>
      </c>
      <c r="Z30" s="56" cm="1">
        <f t="array" ref="Z30">SUMPRODUCT((Z5:Z24-Y5:Y24),$E5:$E24)</f>
        <v>14747.1399999996</v>
      </c>
      <c r="AA30" s="56" cm="1">
        <f t="array" ref="AA30">SUMPRODUCT((AA5:AA24-Z5:Z24),$E5:$E24)</f>
        <v>-130624.1</v>
      </c>
      <c r="AB30" s="56" cm="1">
        <f t="array" ref="AB30">SUMPRODUCT((AB5:AB24-AA5:AA24),$E5:$E24)</f>
        <v>87906.9300000003</v>
      </c>
      <c r="AC30" s="56" cm="1">
        <f t="array" ref="AC30">SUMPRODUCT((AC5:AC24-AB5:AB24),$E5:$E24)</f>
        <v>183376.43</v>
      </c>
      <c r="AD30" s="56"/>
      <c r="AE30" s="56"/>
      <c r="AF30" s="56"/>
    </row>
    <row r="31" s="7" customFormat="1" spans="1:32">
      <c r="A31" s="7" t="s">
        <v>56</v>
      </c>
      <c r="E31" s="62"/>
      <c r="F31" s="63">
        <v>0</v>
      </c>
      <c r="G31" s="64">
        <f t="shared" ref="G31:AC31" si="2">G30/$D$26</f>
        <v>0.00535604600000007</v>
      </c>
      <c r="H31" s="64">
        <f t="shared" si="2"/>
        <v>-0.000332507000000014</v>
      </c>
      <c r="I31" s="64">
        <f t="shared" si="2"/>
        <v>0.0126254020000001</v>
      </c>
      <c r="J31" s="64">
        <f t="shared" si="2"/>
        <v>0.0113617900000001</v>
      </c>
      <c r="K31" s="64">
        <f t="shared" si="2"/>
        <v>-0.0105871690000001</v>
      </c>
      <c r="L31" s="64">
        <f t="shared" si="2"/>
        <v>0.0105359490000001</v>
      </c>
      <c r="M31" s="64">
        <f t="shared" si="2"/>
        <v>0.000551089000000034</v>
      </c>
      <c r="N31" s="64">
        <f t="shared" si="2"/>
        <v>-0.000858654999999997</v>
      </c>
      <c r="O31" s="64">
        <f t="shared" si="2"/>
        <v>-0.00273954200000008</v>
      </c>
      <c r="P31" s="64">
        <f t="shared" ref="P31:AB31" si="3">P30/$D$26</f>
        <v>-0.00193221799999997</v>
      </c>
      <c r="Q31" s="64">
        <f t="shared" si="2"/>
        <v>0.0183839850000001</v>
      </c>
      <c r="R31" s="64">
        <f t="shared" si="3"/>
        <v>-0.00588733600000003</v>
      </c>
      <c r="S31" s="64">
        <f t="shared" si="2"/>
        <v>-0.00551921000000009</v>
      </c>
      <c r="T31" s="64">
        <f t="shared" si="3"/>
        <v>0.0133823590000001</v>
      </c>
      <c r="U31" s="64">
        <f t="shared" si="2"/>
        <v>-0.00774998300000001</v>
      </c>
      <c r="V31" s="64">
        <f t="shared" si="3"/>
        <v>-0.00248727600000006</v>
      </c>
      <c r="W31" s="64">
        <f t="shared" si="2"/>
        <v>0.00692542900000005</v>
      </c>
      <c r="X31" s="64">
        <f t="shared" si="3"/>
        <v>0.00732224100000008</v>
      </c>
      <c r="Y31" s="64">
        <f t="shared" si="2"/>
        <v>-0.00772176700000005</v>
      </c>
      <c r="Z31" s="64">
        <f t="shared" si="3"/>
        <v>0.00147471399999998</v>
      </c>
      <c r="AA31" s="64">
        <f t="shared" si="2"/>
        <v>-0.0130624100000001</v>
      </c>
      <c r="AB31" s="64">
        <f t="shared" si="3"/>
        <v>0.0087906930000001</v>
      </c>
      <c r="AC31" s="64">
        <f t="shared" si="2"/>
        <v>0.0183376430000001</v>
      </c>
      <c r="AD31" s="64"/>
      <c r="AE31" s="64"/>
      <c r="AF31" s="64"/>
    </row>
    <row r="32" s="7" customFormat="1" spans="1:32">
      <c r="A32" s="7" t="s">
        <v>57</v>
      </c>
      <c r="E32" s="62"/>
      <c r="F32" s="51">
        <v>0</v>
      </c>
      <c r="G32" s="65">
        <f>F32+G30</f>
        <v>53560.4600000002</v>
      </c>
      <c r="H32" s="65">
        <f t="shared" ref="H32:K32" si="4">G32+H30</f>
        <v>50235.3900000001</v>
      </c>
      <c r="I32" s="65">
        <f t="shared" si="4"/>
        <v>176489.41</v>
      </c>
      <c r="J32" s="65">
        <f t="shared" si="4"/>
        <v>290107.31</v>
      </c>
      <c r="K32" s="65">
        <f t="shared" si="4"/>
        <v>184235.62</v>
      </c>
      <c r="L32" s="65">
        <f t="shared" ref="L32:P32" si="5">K32+L30</f>
        <v>289595.11</v>
      </c>
      <c r="M32" s="65">
        <f t="shared" si="5"/>
        <v>295106.000000001</v>
      </c>
      <c r="N32" s="65">
        <f t="shared" si="5"/>
        <v>286519.450000001</v>
      </c>
      <c r="O32" s="65">
        <f t="shared" si="5"/>
        <v>259124.03</v>
      </c>
      <c r="P32" s="65">
        <f t="shared" si="5"/>
        <v>239801.850000001</v>
      </c>
      <c r="Q32" s="65">
        <f t="shared" ref="Q32" si="6">P32+Q30</f>
        <v>423641.7</v>
      </c>
      <c r="R32" s="65">
        <f t="shared" ref="R32" si="7">Q32+R30</f>
        <v>364768.34</v>
      </c>
      <c r="S32" s="65">
        <f t="shared" ref="S32" si="8">R32+S30</f>
        <v>309576.24</v>
      </c>
      <c r="T32" s="65">
        <f t="shared" ref="T32" si="9">S32+T30</f>
        <v>443399.83</v>
      </c>
      <c r="U32" s="65">
        <f t="shared" ref="U32" si="10">T32+U30</f>
        <v>365900.000000001</v>
      </c>
      <c r="V32" s="65">
        <f t="shared" ref="V32" si="11">U32+V30</f>
        <v>341027.24</v>
      </c>
      <c r="W32" s="65">
        <f t="shared" ref="W32" si="12">V32+W30</f>
        <v>410281.53</v>
      </c>
      <c r="X32" s="65">
        <f t="shared" ref="X32" si="13">W32+X30</f>
        <v>483503.94</v>
      </c>
      <c r="Y32" s="65">
        <f t="shared" ref="Y32" si="14">X32+Y30</f>
        <v>406286.27</v>
      </c>
      <c r="Z32" s="65">
        <f t="shared" ref="Z32" si="15">Y32+Z30</f>
        <v>421033.41</v>
      </c>
      <c r="AA32" s="65">
        <f t="shared" ref="AA32" si="16">Z32+AA30</f>
        <v>290409.31</v>
      </c>
      <c r="AB32" s="65">
        <f t="shared" ref="AB32" si="17">AA32+AB30</f>
        <v>378316.24</v>
      </c>
      <c r="AC32" s="65">
        <f t="shared" ref="AC32" si="18">AB32+AC30</f>
        <v>561692.67</v>
      </c>
      <c r="AD32" s="65"/>
      <c r="AE32" s="65"/>
      <c r="AF32" s="65"/>
    </row>
    <row r="33" s="10" customFormat="1" spans="1:32">
      <c r="A33" s="10" t="s">
        <v>58</v>
      </c>
      <c r="E33" s="62"/>
      <c r="F33" s="63">
        <v>0</v>
      </c>
      <c r="G33" s="66">
        <f t="shared" ref="G33:AC33" si="19">G32/$D$26</f>
        <v>0.00535604600000007</v>
      </c>
      <c r="H33" s="66">
        <f t="shared" si="19"/>
        <v>0.00502353900000005</v>
      </c>
      <c r="I33" s="66">
        <f t="shared" si="19"/>
        <v>0.0176489410000002</v>
      </c>
      <c r="J33" s="66">
        <f t="shared" si="19"/>
        <v>0.0290107310000002</v>
      </c>
      <c r="K33" s="66">
        <f t="shared" si="19"/>
        <v>0.0184235620000001</v>
      </c>
      <c r="L33" s="66">
        <f t="shared" si="19"/>
        <v>0.0289595110000003</v>
      </c>
      <c r="M33" s="66">
        <f t="shared" si="19"/>
        <v>0.0295106000000003</v>
      </c>
      <c r="N33" s="66">
        <f t="shared" si="19"/>
        <v>0.0286519450000003</v>
      </c>
      <c r="O33" s="66">
        <f t="shared" si="19"/>
        <v>0.0259124030000002</v>
      </c>
      <c r="P33" s="66">
        <f t="shared" si="19"/>
        <v>0.0239801850000002</v>
      </c>
      <c r="Q33" s="66">
        <f t="shared" si="19"/>
        <v>0.0423641700000004</v>
      </c>
      <c r="R33" s="66">
        <f t="shared" si="19"/>
        <v>0.0364768340000003</v>
      </c>
      <c r="S33" s="66">
        <f t="shared" si="19"/>
        <v>0.0309576240000002</v>
      </c>
      <c r="T33" s="66">
        <f t="shared" si="19"/>
        <v>0.0443399830000004</v>
      </c>
      <c r="U33" s="66">
        <f t="shared" si="19"/>
        <v>0.0365900000000004</v>
      </c>
      <c r="V33" s="66">
        <f t="shared" si="19"/>
        <v>0.0341027240000003</v>
      </c>
      <c r="W33" s="66">
        <f t="shared" si="19"/>
        <v>0.0410281530000003</v>
      </c>
      <c r="X33" s="66">
        <f t="shared" si="19"/>
        <v>0.0483503940000004</v>
      </c>
      <c r="Y33" s="66">
        <f t="shared" si="19"/>
        <v>0.0406286270000004</v>
      </c>
      <c r="Z33" s="66">
        <f t="shared" si="19"/>
        <v>0.0421033410000003</v>
      </c>
      <c r="AA33" s="66">
        <f t="shared" si="19"/>
        <v>0.0290409310000002</v>
      </c>
      <c r="AB33" s="66">
        <f t="shared" si="19"/>
        <v>0.0378316240000003</v>
      </c>
      <c r="AC33" s="66">
        <f t="shared" si="19"/>
        <v>0.0561692670000005</v>
      </c>
      <c r="AD33" s="66"/>
      <c r="AE33" s="66"/>
      <c r="AF33" s="66"/>
    </row>
    <row r="34" spans="6:24">
      <c r="F34" s="67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</row>
    <row r="35" s="7" customFormat="1" spans="1:29">
      <c r="A35" s="7" t="s">
        <v>59</v>
      </c>
      <c r="E35" s="69"/>
      <c r="F35" s="51">
        <v>0</v>
      </c>
      <c r="G35" s="56">
        <f>(G25-F25)*$E$25</f>
        <v>33586.2000000006</v>
      </c>
      <c r="H35" s="56">
        <f t="shared" ref="H35:O35" si="20">(H25-G25)*$E$25</f>
        <v>-87146.4600000002</v>
      </c>
      <c r="I35" s="56">
        <f t="shared" si="20"/>
        <v>79743.9600000002</v>
      </c>
      <c r="J35" s="56">
        <f t="shared" si="20"/>
        <v>14610.4200000004</v>
      </c>
      <c r="K35" s="56">
        <f t="shared" si="20"/>
        <v>2656.43999999951</v>
      </c>
      <c r="L35" s="56">
        <f t="shared" si="20"/>
        <v>13891.3200000001</v>
      </c>
      <c r="M35" s="56">
        <f t="shared" si="20"/>
        <v>78204.2400000004</v>
      </c>
      <c r="N35" s="56">
        <f t="shared" si="20"/>
        <v>19254.9600000002</v>
      </c>
      <c r="O35" s="56">
        <f t="shared" si="20"/>
        <v>61521.1199999994</v>
      </c>
      <c r="P35" s="56">
        <f t="shared" ref="P35" si="21">(P25-O25)*$E$25</f>
        <v>-2072.70000000062</v>
      </c>
      <c r="Q35" s="56">
        <f t="shared" ref="Q35" si="22">(Q25-P25)*$E$25</f>
        <v>118702.260000001</v>
      </c>
      <c r="R35" s="56">
        <f t="shared" ref="R35" si="23">(R25-Q25)*$E$25</f>
        <v>54203.2199999998</v>
      </c>
      <c r="S35" s="56">
        <f t="shared" ref="S35" si="24">(S25-R25)*$E$25</f>
        <v>-29263.1400000001</v>
      </c>
      <c r="T35" s="56">
        <f t="shared" ref="T35" si="25">(T25-S25)*$E$25</f>
        <v>19610.2800000002</v>
      </c>
      <c r="U35" s="56">
        <f t="shared" ref="U35" si="26">(U25-T25)*$E$25</f>
        <v>-49482.5399999998</v>
      </c>
      <c r="V35" s="56">
        <f t="shared" ref="V35" si="27">(V25-U25)*$E$25</f>
        <v>-38467.620000001</v>
      </c>
      <c r="W35" s="56">
        <f t="shared" ref="W35" si="28">(W25-V25)*$E$25</f>
        <v>39110.5800000012</v>
      </c>
      <c r="X35" s="56">
        <f t="shared" ref="X35" si="29">(X25-W25)*$E$25</f>
        <v>10219.6799999999</v>
      </c>
      <c r="Y35" s="56">
        <f t="shared" ref="Y35" si="30">(Y25-X25)*$E$25</f>
        <v>-26750.5200000007</v>
      </c>
      <c r="Z35" s="56">
        <f t="shared" ref="Z35" si="31">(Z25-Y25)*$E$25</f>
        <v>-9356.75999999957</v>
      </c>
      <c r="AA35" s="56">
        <f t="shared" ref="AA35" si="32">(AA25-Z25)*$E$25</f>
        <v>-74583.3599999999</v>
      </c>
      <c r="AB35" s="56">
        <f t="shared" ref="AB35" si="33">(AB25-AA25)*$E$25</f>
        <v>94447.4399999995</v>
      </c>
      <c r="AC35" s="56">
        <f t="shared" ref="AC35" si="34">(AC25-AB25)*$E$25</f>
        <v>155215.619999999</v>
      </c>
    </row>
    <row r="36" s="7" customFormat="1" spans="1:29">
      <c r="A36" s="7" t="s">
        <v>60</v>
      </c>
      <c r="E36" s="69"/>
      <c r="F36" s="63">
        <v>0</v>
      </c>
      <c r="G36" s="64">
        <f t="shared" ref="G36:AC36" si="35">G35/$D$25</f>
        <v>0.00335862000000006</v>
      </c>
      <c r="H36" s="64">
        <f t="shared" si="35"/>
        <v>-0.00871464600000002</v>
      </c>
      <c r="I36" s="64">
        <f t="shared" si="35"/>
        <v>0.00797439600000002</v>
      </c>
      <c r="J36" s="64">
        <f t="shared" si="35"/>
        <v>0.00146104200000004</v>
      </c>
      <c r="K36" s="64">
        <f t="shared" si="35"/>
        <v>0.000265643999999951</v>
      </c>
      <c r="L36" s="64">
        <f t="shared" si="35"/>
        <v>0.00138913200000001</v>
      </c>
      <c r="M36" s="64">
        <f t="shared" si="35"/>
        <v>0.00782042400000004</v>
      </c>
      <c r="N36" s="64">
        <f t="shared" si="35"/>
        <v>0.00192549600000002</v>
      </c>
      <c r="O36" s="64">
        <f t="shared" si="35"/>
        <v>0.00615211199999994</v>
      </c>
      <c r="P36" s="64">
        <f t="shared" si="35"/>
        <v>-0.000207270000000062</v>
      </c>
      <c r="Q36" s="64">
        <f t="shared" si="35"/>
        <v>0.0118702260000001</v>
      </c>
      <c r="R36" s="64">
        <f t="shared" si="35"/>
        <v>0.00542032199999998</v>
      </c>
      <c r="S36" s="64">
        <f t="shared" si="35"/>
        <v>-0.00292631400000001</v>
      </c>
      <c r="T36" s="64">
        <f t="shared" si="35"/>
        <v>0.00196102800000002</v>
      </c>
      <c r="U36" s="64">
        <f t="shared" si="35"/>
        <v>-0.00494825399999998</v>
      </c>
      <c r="V36" s="64">
        <f t="shared" si="35"/>
        <v>-0.0038467620000001</v>
      </c>
      <c r="W36" s="64">
        <f t="shared" si="35"/>
        <v>0.00391105800000012</v>
      </c>
      <c r="X36" s="64">
        <f t="shared" si="35"/>
        <v>0.00102196799999999</v>
      </c>
      <c r="Y36" s="64">
        <f t="shared" si="35"/>
        <v>-0.00267505200000007</v>
      </c>
      <c r="Z36" s="64">
        <f t="shared" si="35"/>
        <v>-0.000935675999999957</v>
      </c>
      <c r="AA36" s="64">
        <f t="shared" si="35"/>
        <v>-0.00745833599999999</v>
      </c>
      <c r="AB36" s="64">
        <f t="shared" si="35"/>
        <v>0.00944474399999995</v>
      </c>
      <c r="AC36" s="64">
        <f t="shared" si="35"/>
        <v>0.0155215619999999</v>
      </c>
    </row>
    <row r="37" s="7" customFormat="1" spans="1:29">
      <c r="A37" s="7" t="s">
        <v>61</v>
      </c>
      <c r="E37" s="69"/>
      <c r="F37" s="51">
        <v>0</v>
      </c>
      <c r="G37" s="56">
        <f>F37+G35</f>
        <v>33586.2000000006</v>
      </c>
      <c r="H37" s="56">
        <f t="shared" ref="H37:O37" si="36">G37+H35</f>
        <v>-53560.2599999996</v>
      </c>
      <c r="I37" s="56">
        <f t="shared" si="36"/>
        <v>26183.7000000006</v>
      </c>
      <c r="J37" s="56">
        <f t="shared" si="36"/>
        <v>40794.120000001</v>
      </c>
      <c r="K37" s="56">
        <f t="shared" si="36"/>
        <v>43450.5600000005</v>
      </c>
      <c r="L37" s="56">
        <f t="shared" si="36"/>
        <v>57341.8800000006</v>
      </c>
      <c r="M37" s="56">
        <f t="shared" si="36"/>
        <v>135546.120000001</v>
      </c>
      <c r="N37" s="56">
        <f t="shared" si="36"/>
        <v>154801.080000001</v>
      </c>
      <c r="O37" s="56">
        <f t="shared" si="36"/>
        <v>216322.200000001</v>
      </c>
      <c r="P37" s="56">
        <f t="shared" ref="P37" si="37">O37+P35</f>
        <v>214249.5</v>
      </c>
      <c r="Q37" s="56">
        <f t="shared" ref="Q37" si="38">P37+Q35</f>
        <v>332951.760000001</v>
      </c>
      <c r="R37" s="56">
        <f t="shared" ref="R37" si="39">Q37+R35</f>
        <v>387154.980000001</v>
      </c>
      <c r="S37" s="56">
        <f t="shared" ref="S37" si="40">R37+S35</f>
        <v>357891.840000001</v>
      </c>
      <c r="T37" s="56">
        <f t="shared" ref="T37" si="41">S37+T35</f>
        <v>377502.120000001</v>
      </c>
      <c r="U37" s="56">
        <f t="shared" ref="U37" si="42">T37+U35</f>
        <v>328019.580000001</v>
      </c>
      <c r="V37" s="56">
        <f t="shared" ref="V37" si="43">U37+V35</f>
        <v>289551.96</v>
      </c>
      <c r="W37" s="56">
        <f t="shared" ref="W37" si="44">V37+W35</f>
        <v>328662.540000001</v>
      </c>
      <c r="X37" s="56">
        <f t="shared" ref="X37" si="45">W37+X35</f>
        <v>338882.220000001</v>
      </c>
      <c r="Y37" s="56">
        <f t="shared" ref="Y37" si="46">X37+Y35</f>
        <v>312131.700000001</v>
      </c>
      <c r="Z37" s="56">
        <f t="shared" ref="Z37" si="47">Y37+Z35</f>
        <v>302774.940000001</v>
      </c>
      <c r="AA37" s="56">
        <f t="shared" ref="AA37" si="48">Z37+AA35</f>
        <v>228191.580000001</v>
      </c>
      <c r="AB37" s="56">
        <f t="shared" ref="AB37" si="49">AA37+AB35</f>
        <v>322639.020000001</v>
      </c>
      <c r="AC37" s="56">
        <f t="shared" ref="AC37" si="50">AB37+AC35</f>
        <v>477854.64</v>
      </c>
    </row>
    <row r="38" s="7" customFormat="1" spans="1:29">
      <c r="A38" s="10" t="s">
        <v>62</v>
      </c>
      <c r="E38" s="69"/>
      <c r="F38" s="63">
        <v>0</v>
      </c>
      <c r="G38" s="66">
        <f t="shared" ref="G38:AC38" si="51">G37/$D$25</f>
        <v>0.00335862000000006</v>
      </c>
      <c r="H38" s="66">
        <f t="shared" si="51"/>
        <v>-0.00535602599999996</v>
      </c>
      <c r="I38" s="66">
        <f t="shared" si="51"/>
        <v>0.00261837000000006</v>
      </c>
      <c r="J38" s="66">
        <f t="shared" si="51"/>
        <v>0.0040794120000001</v>
      </c>
      <c r="K38" s="66">
        <f t="shared" si="51"/>
        <v>0.00434505600000005</v>
      </c>
      <c r="L38" s="66">
        <f t="shared" si="51"/>
        <v>0.00573418800000006</v>
      </c>
      <c r="M38" s="66">
        <f t="shared" si="51"/>
        <v>0.0135546120000001</v>
      </c>
      <c r="N38" s="66">
        <f t="shared" si="51"/>
        <v>0.0154801080000001</v>
      </c>
      <c r="O38" s="66">
        <f t="shared" si="51"/>
        <v>0.0216322200000001</v>
      </c>
      <c r="P38" s="66">
        <f t="shared" si="51"/>
        <v>0.02142495</v>
      </c>
      <c r="Q38" s="66">
        <f t="shared" si="51"/>
        <v>0.0332951760000001</v>
      </c>
      <c r="R38" s="66">
        <f t="shared" si="51"/>
        <v>0.0387154980000001</v>
      </c>
      <c r="S38" s="66">
        <f t="shared" si="51"/>
        <v>0.0357891840000001</v>
      </c>
      <c r="T38" s="66">
        <f t="shared" si="51"/>
        <v>0.0377502120000001</v>
      </c>
      <c r="U38" s="66">
        <f t="shared" si="51"/>
        <v>0.0328019580000001</v>
      </c>
      <c r="V38" s="66">
        <f t="shared" si="51"/>
        <v>0.028955196</v>
      </c>
      <c r="W38" s="66">
        <f t="shared" si="51"/>
        <v>0.0328662540000001</v>
      </c>
      <c r="X38" s="66">
        <f t="shared" si="51"/>
        <v>0.0338882220000001</v>
      </c>
      <c r="Y38" s="66">
        <f t="shared" si="51"/>
        <v>0.0312131700000001</v>
      </c>
      <c r="Z38" s="66">
        <f t="shared" si="51"/>
        <v>0.0302774940000001</v>
      </c>
      <c r="AA38" s="66">
        <f t="shared" si="51"/>
        <v>0.0228191580000001</v>
      </c>
      <c r="AB38" s="66">
        <f t="shared" si="51"/>
        <v>0.0322639020000001</v>
      </c>
      <c r="AC38" s="66">
        <f t="shared" si="51"/>
        <v>0.047785464</v>
      </c>
    </row>
    <row r="40" s="7" customFormat="1" spans="1:29">
      <c r="A40" s="7" t="s">
        <v>63</v>
      </c>
      <c r="E40" s="69"/>
      <c r="F40" s="56">
        <f>F30-F35</f>
        <v>0</v>
      </c>
      <c r="G40" s="56">
        <f t="shared" ref="G40:AC43" si="52">G30-G35</f>
        <v>19974.2599999996</v>
      </c>
      <c r="H40" s="56">
        <f t="shared" si="52"/>
        <v>83821.3900000001</v>
      </c>
      <c r="I40" s="56">
        <f t="shared" si="52"/>
        <v>46510.06</v>
      </c>
      <c r="J40" s="56">
        <f t="shared" si="52"/>
        <v>99007.4799999995</v>
      </c>
      <c r="K40" s="56">
        <f t="shared" si="52"/>
        <v>-108528.13</v>
      </c>
      <c r="L40" s="56">
        <f t="shared" si="52"/>
        <v>91468.1700000002</v>
      </c>
      <c r="M40" s="56">
        <f t="shared" si="52"/>
        <v>-72693.3500000001</v>
      </c>
      <c r="N40" s="56">
        <f t="shared" si="52"/>
        <v>-27841.5100000001</v>
      </c>
      <c r="O40" s="56">
        <f t="shared" si="52"/>
        <v>-88916.54</v>
      </c>
      <c r="P40" s="56">
        <f t="shared" ref="P40" si="53">P30-P35</f>
        <v>-17249.4799999989</v>
      </c>
      <c r="Q40" s="56">
        <f t="shared" si="52"/>
        <v>65137.5899999986</v>
      </c>
      <c r="R40" s="56">
        <f t="shared" si="52"/>
        <v>-113076.58</v>
      </c>
      <c r="S40" s="56">
        <f t="shared" si="52"/>
        <v>-25928.9600000004</v>
      </c>
      <c r="T40" s="56">
        <f t="shared" si="52"/>
        <v>114213.31</v>
      </c>
      <c r="U40" s="56">
        <f t="shared" si="52"/>
        <v>-28017.2899999996</v>
      </c>
      <c r="V40" s="56">
        <f t="shared" si="52"/>
        <v>13594.8600000006</v>
      </c>
      <c r="W40" s="56">
        <f t="shared" si="52"/>
        <v>30143.7099999988</v>
      </c>
      <c r="X40" s="56">
        <f t="shared" si="52"/>
        <v>63002.7300000002</v>
      </c>
      <c r="Y40" s="56">
        <f t="shared" si="52"/>
        <v>-50467.1499999992</v>
      </c>
      <c r="Z40" s="56">
        <f t="shared" si="52"/>
        <v>24103.8999999992</v>
      </c>
      <c r="AA40" s="56">
        <f t="shared" si="52"/>
        <v>-56040.7400000002</v>
      </c>
      <c r="AB40" s="56">
        <f t="shared" si="52"/>
        <v>-6540.50999999922</v>
      </c>
      <c r="AC40" s="56">
        <f t="shared" si="52"/>
        <v>28160.8100000005</v>
      </c>
    </row>
    <row r="41" s="7" customFormat="1" spans="1:29">
      <c r="A41" s="7" t="s">
        <v>64</v>
      </c>
      <c r="E41" s="69"/>
      <c r="F41" s="70">
        <f t="shared" ref="F41:U43" si="54">F31-F36</f>
        <v>0</v>
      </c>
      <c r="G41" s="70">
        <f t="shared" si="54"/>
        <v>0.00199742600000001</v>
      </c>
      <c r="H41" s="70">
        <f t="shared" si="54"/>
        <v>0.008382139</v>
      </c>
      <c r="I41" s="70">
        <f t="shared" si="54"/>
        <v>0.0046510060000001</v>
      </c>
      <c r="J41" s="70">
        <f t="shared" si="54"/>
        <v>0.00990074800000004</v>
      </c>
      <c r="K41" s="70">
        <f t="shared" si="54"/>
        <v>-0.010852813</v>
      </c>
      <c r="L41" s="70">
        <f t="shared" si="54"/>
        <v>0.00914681700000011</v>
      </c>
      <c r="M41" s="70">
        <f t="shared" si="54"/>
        <v>-0.00726933500000001</v>
      </c>
      <c r="N41" s="70">
        <f t="shared" si="54"/>
        <v>-0.00278415100000002</v>
      </c>
      <c r="O41" s="70">
        <f t="shared" si="54"/>
        <v>-0.00889165400000002</v>
      </c>
      <c r="P41" s="70">
        <f t="shared" ref="P41" si="55">P31-P36</f>
        <v>-0.00172494799999991</v>
      </c>
      <c r="Q41" s="70">
        <f t="shared" si="54"/>
        <v>0.00651375900000001</v>
      </c>
      <c r="R41" s="70">
        <f t="shared" si="54"/>
        <v>-0.011307658</v>
      </c>
      <c r="S41" s="70">
        <f t="shared" si="54"/>
        <v>-0.00259289600000008</v>
      </c>
      <c r="T41" s="70">
        <f t="shared" si="52"/>
        <v>0.0114213310000001</v>
      </c>
      <c r="U41" s="70">
        <f t="shared" si="54"/>
        <v>-0.00280172900000003</v>
      </c>
      <c r="V41" s="70">
        <f t="shared" si="52"/>
        <v>0.00135948600000004</v>
      </c>
      <c r="W41" s="70">
        <f t="shared" si="52"/>
        <v>0.00301437099999994</v>
      </c>
      <c r="X41" s="70">
        <f t="shared" si="52"/>
        <v>0.00630027300000008</v>
      </c>
      <c r="Y41" s="70">
        <f t="shared" si="52"/>
        <v>-0.00504671499999998</v>
      </c>
      <c r="Z41" s="70">
        <f t="shared" si="52"/>
        <v>0.00241038999999993</v>
      </c>
      <c r="AA41" s="70">
        <f t="shared" si="52"/>
        <v>-0.00560407400000012</v>
      </c>
      <c r="AB41" s="70">
        <f t="shared" si="52"/>
        <v>-0.000654050999999852</v>
      </c>
      <c r="AC41" s="70">
        <f t="shared" si="52"/>
        <v>0.0028160810000002</v>
      </c>
    </row>
    <row r="42" s="7" customFormat="1" spans="1:29">
      <c r="A42" s="7" t="s">
        <v>65</v>
      </c>
      <c r="E42" s="69"/>
      <c r="F42" s="56">
        <f t="shared" si="54"/>
        <v>0</v>
      </c>
      <c r="G42" s="56">
        <f t="shared" si="54"/>
        <v>19974.2599999996</v>
      </c>
      <c r="H42" s="56">
        <f t="shared" si="54"/>
        <v>103795.65</v>
      </c>
      <c r="I42" s="56">
        <f t="shared" si="54"/>
        <v>150305.71</v>
      </c>
      <c r="J42" s="56">
        <f t="shared" si="54"/>
        <v>249313.189999999</v>
      </c>
      <c r="K42" s="56">
        <f t="shared" si="54"/>
        <v>140785.06</v>
      </c>
      <c r="L42" s="56">
        <f t="shared" si="54"/>
        <v>232253.23</v>
      </c>
      <c r="M42" s="56">
        <f t="shared" si="54"/>
        <v>159559.88</v>
      </c>
      <c r="N42" s="56">
        <f t="shared" si="54"/>
        <v>131718.369999999</v>
      </c>
      <c r="O42" s="56">
        <f t="shared" si="54"/>
        <v>42801.8299999995</v>
      </c>
      <c r="P42" s="56">
        <f t="shared" ref="P42:AB42" si="56">P32-P37</f>
        <v>25552.3500000005</v>
      </c>
      <c r="Q42" s="56">
        <f t="shared" si="54"/>
        <v>90689.9399999992</v>
      </c>
      <c r="R42" s="56">
        <f t="shared" si="56"/>
        <v>-22386.6400000004</v>
      </c>
      <c r="S42" s="56">
        <f t="shared" si="54"/>
        <v>-48315.6000000008</v>
      </c>
      <c r="T42" s="56">
        <f t="shared" si="56"/>
        <v>65897.709999999</v>
      </c>
      <c r="U42" s="56">
        <f t="shared" si="54"/>
        <v>37880.4199999994</v>
      </c>
      <c r="V42" s="56">
        <f t="shared" si="56"/>
        <v>51475.28</v>
      </c>
      <c r="W42" s="56">
        <f t="shared" si="52"/>
        <v>81618.9899999988</v>
      </c>
      <c r="X42" s="56">
        <f t="shared" si="56"/>
        <v>144621.719999999</v>
      </c>
      <c r="Y42" s="56">
        <f t="shared" si="52"/>
        <v>94154.5699999997</v>
      </c>
      <c r="Z42" s="56">
        <f t="shared" si="56"/>
        <v>118258.469999999</v>
      </c>
      <c r="AA42" s="56">
        <f t="shared" si="52"/>
        <v>62217.7299999988</v>
      </c>
      <c r="AB42" s="56">
        <f t="shared" si="56"/>
        <v>55677.2199999996</v>
      </c>
      <c r="AC42" s="56">
        <f t="shared" si="52"/>
        <v>83838.03</v>
      </c>
    </row>
    <row r="43" s="7" customFormat="1" spans="1:29">
      <c r="A43" s="7" t="s">
        <v>66</v>
      </c>
      <c r="E43" s="69"/>
      <c r="F43" s="70">
        <f t="shared" si="54"/>
        <v>0</v>
      </c>
      <c r="G43" s="70">
        <f t="shared" si="54"/>
        <v>0.00199742600000001</v>
      </c>
      <c r="H43" s="70">
        <f t="shared" si="54"/>
        <v>0.010379565</v>
      </c>
      <c r="I43" s="70">
        <f t="shared" si="54"/>
        <v>0.0150305710000001</v>
      </c>
      <c r="J43" s="70">
        <f t="shared" si="54"/>
        <v>0.0249313190000001</v>
      </c>
      <c r="K43" s="70">
        <f t="shared" si="54"/>
        <v>0.0140785060000001</v>
      </c>
      <c r="L43" s="70">
        <f t="shared" si="54"/>
        <v>0.0232253230000002</v>
      </c>
      <c r="M43" s="70">
        <f t="shared" si="54"/>
        <v>0.0159559880000002</v>
      </c>
      <c r="N43" s="70">
        <f t="shared" si="54"/>
        <v>0.0131718370000002</v>
      </c>
      <c r="O43" s="70">
        <f t="shared" si="54"/>
        <v>0.00428018300000015</v>
      </c>
      <c r="P43" s="70">
        <f t="shared" ref="P43:AB43" si="57">P33-P38</f>
        <v>0.00255523500000024</v>
      </c>
      <c r="Q43" s="70">
        <f t="shared" si="54"/>
        <v>0.00906899400000025</v>
      </c>
      <c r="R43" s="70">
        <f t="shared" si="57"/>
        <v>-0.00223866399999975</v>
      </c>
      <c r="S43" s="70">
        <f t="shared" si="54"/>
        <v>-0.00483155999999983</v>
      </c>
      <c r="T43" s="70">
        <f t="shared" si="57"/>
        <v>0.00658977100000026</v>
      </c>
      <c r="U43" s="70">
        <f t="shared" si="54"/>
        <v>0.00378804200000023</v>
      </c>
      <c r="V43" s="70">
        <f t="shared" si="57"/>
        <v>0.00514752800000027</v>
      </c>
      <c r="W43" s="70">
        <f t="shared" si="52"/>
        <v>0.00816189900000021</v>
      </c>
      <c r="X43" s="70">
        <f t="shared" si="57"/>
        <v>0.0144621720000003</v>
      </c>
      <c r="Y43" s="70">
        <f t="shared" si="52"/>
        <v>0.0094154570000003</v>
      </c>
      <c r="Z43" s="70">
        <f t="shared" si="57"/>
        <v>0.0118258470000002</v>
      </c>
      <c r="AA43" s="70">
        <f t="shared" si="52"/>
        <v>0.00622177300000011</v>
      </c>
      <c r="AB43" s="70">
        <f t="shared" si="57"/>
        <v>0.00556772200000026</v>
      </c>
      <c r="AC43" s="70">
        <f t="shared" si="52"/>
        <v>0.00838380300000045</v>
      </c>
    </row>
  </sheetData>
  <mergeCells count="1">
    <mergeCell ref="E1:F2"/>
  </mergeCells>
  <conditionalFormatting sqref="C2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{69ec5e36-9ce7-4d27-b117-f145ff5cb607}</x14:id>
        </ext>
      </extLst>
    </cfRule>
  </conditionalFormatting>
  <conditionalFormatting sqref="C5:C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{98a20619-4ca8-41b8-b9de-b5c3bf907534}</x14:id>
        </ext>
      </extLst>
    </cfRule>
  </conditionalFormatting>
  <pageMargins left="0.75" right="0.75" top="1" bottom="1" header="0.5" footer="0.5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ec5e36-9ce7-4d27-b117-f145ff5cb6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C25</xm:sqref>
        </x14:conditionalFormatting>
        <x14:conditionalFormatting xmlns:xm="http://schemas.microsoft.com/office/excel/2006/main">
          <x14:cfRule type="dataBar" id="{98a20619-4ca8-41b8-b9de-b5c3bf9075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C5:C24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0"/>
  <sheetViews>
    <sheetView topLeftCell="A30" workbookViewId="0">
      <selection activeCell="A30" sqref="$A1:$XFD1048576"/>
    </sheetView>
  </sheetViews>
  <sheetFormatPr defaultColWidth="11" defaultRowHeight="17.6"/>
  <cols>
    <col min="1" max="1" width="36.0666666666667" customWidth="1"/>
    <col min="2" max="2" width="12.5333333333333" customWidth="1"/>
    <col min="3" max="3" width="14.1666666666667" customWidth="1"/>
    <col min="4" max="4" width="20.5333333333333" customWidth="1"/>
    <col min="5" max="5" width="8.16666666666667" style="11" customWidth="1"/>
    <col min="6" max="6" width="16.0666666666667" customWidth="1"/>
    <col min="7" max="7" width="17.2" customWidth="1"/>
    <col min="8" max="9" width="17.4" customWidth="1"/>
    <col min="10" max="17" width="17.2" customWidth="1"/>
    <col min="18" max="19" width="12.5" customWidth="1"/>
    <col min="20" max="20" width="12.3333333333333" customWidth="1"/>
    <col min="21" max="21" width="13.5" customWidth="1"/>
    <col min="22" max="22" width="12.5" customWidth="1"/>
    <col min="23" max="30" width="13.5" customWidth="1"/>
    <col min="31" max="31" width="12.5" customWidth="1"/>
    <col min="32" max="33" width="13" customWidth="1"/>
    <col min="34" max="34" width="11.8333333333333" customWidth="1"/>
  </cols>
  <sheetData>
    <row r="1" spans="1:6">
      <c r="A1" s="1" t="s">
        <v>0</v>
      </c>
      <c r="B1" s="75">
        <v>45870</v>
      </c>
      <c r="C1" s="13" t="s">
        <v>1</v>
      </c>
      <c r="D1" s="14">
        <v>10000000</v>
      </c>
      <c r="E1" s="37" t="s">
        <v>2</v>
      </c>
      <c r="F1" s="38"/>
    </row>
    <row r="2" ht="18.35" spans="1:6">
      <c r="A2" s="1" t="s">
        <v>3</v>
      </c>
      <c r="B2" s="75">
        <v>45901</v>
      </c>
      <c r="E2" s="39"/>
      <c r="F2" s="40"/>
    </row>
    <row r="3" s="6" customFormat="1" ht="41.75" spans="1:34">
      <c r="A3" s="15" t="s">
        <v>4</v>
      </c>
      <c r="B3" s="16" t="s">
        <v>5</v>
      </c>
      <c r="C3" s="17" t="s">
        <v>6</v>
      </c>
      <c r="D3" s="18" t="s">
        <v>7</v>
      </c>
      <c r="E3" s="41" t="s">
        <v>8</v>
      </c>
      <c r="F3" s="42" t="s">
        <v>9</v>
      </c>
      <c r="G3" s="43" t="s">
        <v>9</v>
      </c>
      <c r="H3" s="20" t="s">
        <v>9</v>
      </c>
      <c r="I3" s="20" t="s">
        <v>9</v>
      </c>
      <c r="J3" s="20" t="s">
        <v>9</v>
      </c>
      <c r="K3" s="20" t="s">
        <v>9</v>
      </c>
      <c r="L3" s="20" t="s">
        <v>9</v>
      </c>
      <c r="M3" s="43" t="s">
        <v>9</v>
      </c>
      <c r="N3" s="43" t="s">
        <v>9</v>
      </c>
      <c r="O3" s="43" t="s">
        <v>9</v>
      </c>
      <c r="P3" s="43" t="s">
        <v>9</v>
      </c>
      <c r="Q3" s="43" t="s">
        <v>9</v>
      </c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</row>
    <row r="4" s="6" customFormat="1" ht="21.75" spans="1:34">
      <c r="A4" s="19" t="s">
        <v>10</v>
      </c>
      <c r="B4" s="19"/>
      <c r="C4" s="20" t="s">
        <v>11</v>
      </c>
      <c r="D4" s="21"/>
      <c r="E4" s="44"/>
      <c r="F4" s="45">
        <v>45870</v>
      </c>
      <c r="G4" s="46">
        <v>45873</v>
      </c>
      <c r="H4" s="3">
        <v>45874</v>
      </c>
      <c r="I4" s="3">
        <v>45875</v>
      </c>
      <c r="J4" s="3">
        <v>45876</v>
      </c>
      <c r="K4" s="3">
        <v>45877</v>
      </c>
      <c r="L4" s="3">
        <v>45880</v>
      </c>
      <c r="M4" s="3">
        <v>45881</v>
      </c>
      <c r="N4" s="3">
        <v>45882</v>
      </c>
      <c r="O4" s="3">
        <v>45883</v>
      </c>
      <c r="P4" s="3">
        <v>45884</v>
      </c>
      <c r="Q4" s="3">
        <v>45887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3">
      <c r="A5" t="s">
        <v>67</v>
      </c>
      <c r="B5" s="1" t="s">
        <v>68</v>
      </c>
      <c r="C5" s="23">
        <v>0.090909090900909</v>
      </c>
      <c r="D5" s="24">
        <f t="shared" ref="D5:D41" si="0">$D$1*C5</f>
        <v>909090.90900909</v>
      </c>
      <c r="E5" s="47">
        <f t="shared" ref="E5:E42" si="1">ROUNDDOWN(D5/F5,0)</f>
        <v>5435</v>
      </c>
      <c r="F5" s="48">
        <v>167.25</v>
      </c>
      <c r="G5" s="49">
        <v>166.8</v>
      </c>
      <c r="H5" s="49">
        <v>166.25</v>
      </c>
      <c r="I5" s="49">
        <v>162.9</v>
      </c>
      <c r="J5" s="49">
        <v>166.55</v>
      </c>
      <c r="K5" s="49">
        <v>167.5</v>
      </c>
      <c r="L5" s="49">
        <v>164.2</v>
      </c>
      <c r="M5" s="49">
        <v>166.6</v>
      </c>
      <c r="N5" s="73">
        <v>168</v>
      </c>
      <c r="O5" s="73">
        <v>167.85</v>
      </c>
      <c r="P5" s="73">
        <v>166.2</v>
      </c>
      <c r="Q5" s="73">
        <v>166.9</v>
      </c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</row>
    <row r="6" spans="1:33">
      <c r="A6" t="s">
        <v>69</v>
      </c>
      <c r="B6" s="1" t="s">
        <v>70</v>
      </c>
      <c r="C6" s="23">
        <v>0</v>
      </c>
      <c r="D6" s="24">
        <f t="shared" si="0"/>
        <v>0</v>
      </c>
      <c r="E6" s="47">
        <f t="shared" si="1"/>
        <v>0</v>
      </c>
      <c r="F6" s="48">
        <v>169.16</v>
      </c>
      <c r="G6" s="49">
        <v>172.3</v>
      </c>
      <c r="H6" s="49">
        <v>175.16</v>
      </c>
      <c r="I6" s="49">
        <v>177.92</v>
      </c>
      <c r="J6" s="49">
        <v>177.42</v>
      </c>
      <c r="K6" s="49">
        <v>176.22</v>
      </c>
      <c r="L6" s="49">
        <v>175.86</v>
      </c>
      <c r="M6" s="49">
        <v>180.86</v>
      </c>
      <c r="N6" s="73">
        <v>179.58</v>
      </c>
      <c r="O6" s="73">
        <v>183.72</v>
      </c>
      <c r="P6" s="73">
        <v>186.86</v>
      </c>
      <c r="Q6" s="73">
        <v>184.14</v>
      </c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</row>
    <row r="7" spans="1:33">
      <c r="A7" t="s">
        <v>71</v>
      </c>
      <c r="B7" s="1" t="s">
        <v>72</v>
      </c>
      <c r="C7" s="23">
        <v>0</v>
      </c>
      <c r="D7" s="24">
        <f t="shared" si="0"/>
        <v>0</v>
      </c>
      <c r="E7" s="47">
        <f t="shared" si="1"/>
        <v>0</v>
      </c>
      <c r="F7" s="48">
        <v>334.1</v>
      </c>
      <c r="G7" s="49">
        <v>345.3</v>
      </c>
      <c r="H7" s="49">
        <v>347.3</v>
      </c>
      <c r="I7" s="49">
        <v>352.4</v>
      </c>
      <c r="J7" s="49">
        <v>366.9</v>
      </c>
      <c r="K7" s="49">
        <v>365</v>
      </c>
      <c r="L7" s="49">
        <v>363.9</v>
      </c>
      <c r="M7" s="49">
        <v>363.8</v>
      </c>
      <c r="N7" s="73">
        <v>368.7</v>
      </c>
      <c r="O7" s="73">
        <v>376.6</v>
      </c>
      <c r="P7" s="73">
        <v>377.5</v>
      </c>
      <c r="Q7" s="73">
        <v>373.5</v>
      </c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</row>
    <row r="8" spans="1:33">
      <c r="A8" t="s">
        <v>73</v>
      </c>
      <c r="B8" s="1" t="s">
        <v>74</v>
      </c>
      <c r="C8" s="23">
        <v>0</v>
      </c>
      <c r="D8" s="24">
        <f t="shared" si="0"/>
        <v>0</v>
      </c>
      <c r="E8" s="47">
        <f t="shared" si="1"/>
        <v>0</v>
      </c>
      <c r="F8" s="48">
        <v>41.77</v>
      </c>
      <c r="G8" s="49">
        <v>41.68</v>
      </c>
      <c r="H8" s="49">
        <v>42.5</v>
      </c>
      <c r="I8" s="49">
        <v>42.74</v>
      </c>
      <c r="J8" s="49">
        <v>44.76</v>
      </c>
      <c r="K8" s="49">
        <v>45.48</v>
      </c>
      <c r="L8" s="49">
        <v>44.75</v>
      </c>
      <c r="M8" s="49">
        <v>44.82</v>
      </c>
      <c r="N8" s="73">
        <v>45.69</v>
      </c>
      <c r="O8" s="73">
        <v>45.87</v>
      </c>
      <c r="P8" s="73">
        <v>46.16</v>
      </c>
      <c r="Q8" s="73">
        <v>46.35</v>
      </c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</row>
    <row r="9" spans="1:33">
      <c r="A9" t="s">
        <v>75</v>
      </c>
      <c r="B9" s="1" t="s">
        <v>76</v>
      </c>
      <c r="C9" s="23">
        <v>0</v>
      </c>
      <c r="D9" s="24">
        <f t="shared" si="0"/>
        <v>0</v>
      </c>
      <c r="E9" s="47">
        <f t="shared" si="1"/>
        <v>0</v>
      </c>
      <c r="F9" s="48">
        <v>28.12</v>
      </c>
      <c r="G9" s="49">
        <v>27.495</v>
      </c>
      <c r="H9" s="49">
        <v>27.725</v>
      </c>
      <c r="I9" s="49">
        <v>24.975</v>
      </c>
      <c r="J9" s="49">
        <v>25.37</v>
      </c>
      <c r="K9" s="49">
        <v>25.715</v>
      </c>
      <c r="L9" s="49">
        <v>25.71</v>
      </c>
      <c r="M9" s="49">
        <v>25.96</v>
      </c>
      <c r="N9" s="73">
        <v>26.8</v>
      </c>
      <c r="O9" s="73">
        <v>26.63</v>
      </c>
      <c r="P9" s="73">
        <v>27.045</v>
      </c>
      <c r="Q9" s="73">
        <v>27.67</v>
      </c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</row>
    <row r="10" spans="1:33">
      <c r="A10" t="s">
        <v>77</v>
      </c>
      <c r="B10" s="1" t="s">
        <v>78</v>
      </c>
      <c r="C10" s="23">
        <v>0</v>
      </c>
      <c r="D10" s="24">
        <f t="shared" si="0"/>
        <v>0</v>
      </c>
      <c r="E10" s="47">
        <f t="shared" si="1"/>
        <v>0</v>
      </c>
      <c r="F10" s="48">
        <v>108.2</v>
      </c>
      <c r="G10" s="49">
        <v>108.4</v>
      </c>
      <c r="H10" s="49">
        <v>106.5</v>
      </c>
      <c r="I10" s="49">
        <v>97.6</v>
      </c>
      <c r="J10" s="49">
        <v>100.65</v>
      </c>
      <c r="K10" s="49">
        <v>100.65</v>
      </c>
      <c r="L10" s="49">
        <v>99.04</v>
      </c>
      <c r="M10" s="49">
        <v>98.68</v>
      </c>
      <c r="N10" s="73">
        <v>101.1</v>
      </c>
      <c r="O10" s="73">
        <v>101.1</v>
      </c>
      <c r="P10" s="73">
        <v>101.8</v>
      </c>
      <c r="Q10" s="73">
        <v>102.7</v>
      </c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</row>
    <row r="11" spans="1:33">
      <c r="A11" t="s">
        <v>79</v>
      </c>
      <c r="B11" s="1" t="s">
        <v>80</v>
      </c>
      <c r="C11" s="23">
        <v>0</v>
      </c>
      <c r="D11" s="24">
        <f t="shared" si="0"/>
        <v>0</v>
      </c>
      <c r="E11" s="47">
        <f t="shared" si="1"/>
        <v>0</v>
      </c>
      <c r="F11" s="48">
        <v>82.1</v>
      </c>
      <c r="G11" s="49">
        <v>82.58</v>
      </c>
      <c r="H11" s="49">
        <v>83.74</v>
      </c>
      <c r="I11" s="49">
        <v>84.74</v>
      </c>
      <c r="J11" s="49">
        <v>86.36</v>
      </c>
      <c r="K11" s="49">
        <v>87.44</v>
      </c>
      <c r="L11" s="49">
        <v>86.58</v>
      </c>
      <c r="M11" s="49">
        <v>87.5</v>
      </c>
      <c r="N11" s="73">
        <v>88.68</v>
      </c>
      <c r="O11" s="73">
        <v>88.84</v>
      </c>
      <c r="P11" s="73">
        <v>90.14</v>
      </c>
      <c r="Q11" s="73">
        <v>89.32</v>
      </c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</row>
    <row r="12" spans="1:33">
      <c r="A12" t="s">
        <v>81</v>
      </c>
      <c r="B12" s="1" t="s">
        <v>82</v>
      </c>
      <c r="C12" s="23">
        <v>0</v>
      </c>
      <c r="D12" s="24">
        <f t="shared" si="0"/>
        <v>0</v>
      </c>
      <c r="E12" s="47">
        <f t="shared" si="1"/>
        <v>0</v>
      </c>
      <c r="F12" s="48">
        <v>53.5</v>
      </c>
      <c r="G12" s="49">
        <v>53.66</v>
      </c>
      <c r="H12" s="49">
        <v>54.68</v>
      </c>
      <c r="I12" s="49">
        <v>54.06</v>
      </c>
      <c r="J12" s="49">
        <v>55.52</v>
      </c>
      <c r="K12" s="49">
        <v>55.98</v>
      </c>
      <c r="L12" s="49">
        <v>55.12</v>
      </c>
      <c r="M12" s="49">
        <v>55.46</v>
      </c>
      <c r="N12" s="73">
        <v>55.02</v>
      </c>
      <c r="O12" s="73">
        <v>54.22</v>
      </c>
      <c r="P12" s="73">
        <v>54.58</v>
      </c>
      <c r="Q12" s="73">
        <v>53.72</v>
      </c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</row>
    <row r="13" spans="1:33">
      <c r="A13" t="s">
        <v>83</v>
      </c>
      <c r="B13" s="1" t="s">
        <v>84</v>
      </c>
      <c r="C13" s="23">
        <v>0</v>
      </c>
      <c r="D13" s="24">
        <f t="shared" si="0"/>
        <v>0</v>
      </c>
      <c r="E13" s="47">
        <f t="shared" si="1"/>
        <v>0</v>
      </c>
      <c r="F13" s="48">
        <v>31.8</v>
      </c>
      <c r="G13" s="49">
        <v>33.4</v>
      </c>
      <c r="H13" s="49">
        <v>31.4</v>
      </c>
      <c r="I13" s="49">
        <v>31.76</v>
      </c>
      <c r="J13" s="49">
        <v>33.33</v>
      </c>
      <c r="K13" s="49">
        <v>34.48</v>
      </c>
      <c r="L13" s="49">
        <v>35.81</v>
      </c>
      <c r="M13" s="49">
        <v>36.43</v>
      </c>
      <c r="N13" s="73">
        <v>36.84</v>
      </c>
      <c r="O13" s="73">
        <v>37.52</v>
      </c>
      <c r="P13" s="73">
        <v>37.3</v>
      </c>
      <c r="Q13" s="73">
        <v>36.09</v>
      </c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</row>
    <row r="14" spans="1:33">
      <c r="A14" t="s">
        <v>85</v>
      </c>
      <c r="B14" s="1" t="s">
        <v>86</v>
      </c>
      <c r="C14" s="23">
        <v>0</v>
      </c>
      <c r="D14" s="24">
        <f t="shared" si="0"/>
        <v>0</v>
      </c>
      <c r="E14" s="47">
        <f t="shared" si="1"/>
        <v>0</v>
      </c>
      <c r="F14" s="48">
        <v>73.26</v>
      </c>
      <c r="G14" s="49">
        <v>72.96</v>
      </c>
      <c r="H14" s="49">
        <v>73.28</v>
      </c>
      <c r="I14" s="49">
        <v>72.2</v>
      </c>
      <c r="J14" s="49">
        <v>73.32</v>
      </c>
      <c r="K14" s="49">
        <v>73.52</v>
      </c>
      <c r="L14" s="49">
        <v>72.72</v>
      </c>
      <c r="M14" s="49">
        <v>74</v>
      </c>
      <c r="N14" s="73">
        <v>73.96</v>
      </c>
      <c r="O14" s="73">
        <v>74.56</v>
      </c>
      <c r="P14" s="73">
        <v>74.92</v>
      </c>
      <c r="Q14" s="73">
        <v>74.08</v>
      </c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</row>
    <row r="15" spans="1:33">
      <c r="A15" t="s">
        <v>87</v>
      </c>
      <c r="B15" s="1" t="s">
        <v>88</v>
      </c>
      <c r="C15" s="23">
        <v>0.090909090900909</v>
      </c>
      <c r="D15" s="24">
        <f t="shared" si="0"/>
        <v>909090.90900909</v>
      </c>
      <c r="E15" s="47">
        <f t="shared" si="1"/>
        <v>32357</v>
      </c>
      <c r="F15" s="48">
        <v>28.095</v>
      </c>
      <c r="G15" s="49">
        <v>29.03</v>
      </c>
      <c r="H15" s="49">
        <v>29.02</v>
      </c>
      <c r="I15" s="49">
        <v>29.78</v>
      </c>
      <c r="J15" s="49">
        <v>30.565</v>
      </c>
      <c r="K15" s="49">
        <v>31.05</v>
      </c>
      <c r="L15" s="49">
        <v>31.15</v>
      </c>
      <c r="M15" s="49">
        <v>30.995</v>
      </c>
      <c r="N15" s="73">
        <v>30.915</v>
      </c>
      <c r="O15" s="73">
        <v>31.425</v>
      </c>
      <c r="P15" s="73">
        <v>31.245</v>
      </c>
      <c r="Q15" s="73">
        <v>31.415</v>
      </c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</row>
    <row r="16" spans="1:33">
      <c r="A16" t="s">
        <v>89</v>
      </c>
      <c r="B16" s="1" t="s">
        <v>90</v>
      </c>
      <c r="C16" s="23">
        <v>0.090909090900909</v>
      </c>
      <c r="D16" s="24">
        <f t="shared" si="0"/>
        <v>909090.90900909</v>
      </c>
      <c r="E16" s="47">
        <f t="shared" si="1"/>
        <v>3570</v>
      </c>
      <c r="F16" s="48">
        <v>254.6</v>
      </c>
      <c r="G16" s="49">
        <v>257</v>
      </c>
      <c r="H16" s="49">
        <v>255.1</v>
      </c>
      <c r="I16" s="49">
        <v>255.7</v>
      </c>
      <c r="J16" s="49">
        <v>259</v>
      </c>
      <c r="K16" s="49">
        <v>258.4</v>
      </c>
      <c r="L16" s="49">
        <v>260.9</v>
      </c>
      <c r="M16" s="49">
        <v>252.6</v>
      </c>
      <c r="N16" s="73">
        <v>254.5</v>
      </c>
      <c r="O16" s="73">
        <v>257</v>
      </c>
      <c r="P16" s="73">
        <v>256.2</v>
      </c>
      <c r="Q16" s="73">
        <v>255.6</v>
      </c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</row>
    <row r="17" spans="1:33">
      <c r="A17" t="s">
        <v>91</v>
      </c>
      <c r="B17" s="1" t="s">
        <v>92</v>
      </c>
      <c r="C17" s="23">
        <v>0</v>
      </c>
      <c r="D17" s="24">
        <f t="shared" si="0"/>
        <v>0</v>
      </c>
      <c r="E17" s="47">
        <f t="shared" si="1"/>
        <v>0</v>
      </c>
      <c r="F17" s="48">
        <v>38.27</v>
      </c>
      <c r="G17" s="49">
        <v>39.16</v>
      </c>
      <c r="H17" s="49">
        <v>38.94</v>
      </c>
      <c r="I17" s="49">
        <v>38.85</v>
      </c>
      <c r="J17" s="49">
        <v>40.25</v>
      </c>
      <c r="K17" s="49">
        <v>40.83</v>
      </c>
      <c r="L17" s="49">
        <v>40.58</v>
      </c>
      <c r="M17" s="49">
        <v>41.54</v>
      </c>
      <c r="N17" s="73">
        <v>41.69</v>
      </c>
      <c r="O17" s="73">
        <v>41.62</v>
      </c>
      <c r="P17" s="73">
        <v>41.79</v>
      </c>
      <c r="Q17" s="73">
        <v>40.9</v>
      </c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</row>
    <row r="18" spans="1:33">
      <c r="A18" t="s">
        <v>93</v>
      </c>
      <c r="B18" s="1" t="s">
        <v>94</v>
      </c>
      <c r="C18" s="23">
        <v>0</v>
      </c>
      <c r="D18" s="24">
        <f t="shared" si="0"/>
        <v>0</v>
      </c>
      <c r="E18" s="47">
        <f t="shared" si="1"/>
        <v>0</v>
      </c>
      <c r="F18" s="48">
        <v>31.13</v>
      </c>
      <c r="G18" s="49">
        <v>31.52</v>
      </c>
      <c r="H18" s="49">
        <v>31.44</v>
      </c>
      <c r="I18" s="49">
        <v>31.31</v>
      </c>
      <c r="J18" s="49">
        <v>29.75</v>
      </c>
      <c r="K18" s="49">
        <v>29.5</v>
      </c>
      <c r="L18" s="49">
        <v>29.96</v>
      </c>
      <c r="M18" s="49">
        <v>30.32</v>
      </c>
      <c r="N18" s="73">
        <v>30.37</v>
      </c>
      <c r="O18" s="73">
        <v>30.65</v>
      </c>
      <c r="P18" s="73">
        <v>30.84</v>
      </c>
      <c r="Q18" s="73">
        <v>31.08</v>
      </c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</row>
    <row r="19" spans="1:33">
      <c r="A19" t="s">
        <v>95</v>
      </c>
      <c r="B19" s="1" t="s">
        <v>96</v>
      </c>
      <c r="C19" s="23">
        <v>0</v>
      </c>
      <c r="D19" s="24">
        <f t="shared" si="0"/>
        <v>0</v>
      </c>
      <c r="E19" s="47">
        <f t="shared" si="1"/>
        <v>0</v>
      </c>
      <c r="F19" s="48">
        <v>16</v>
      </c>
      <c r="G19" s="49">
        <v>16.46</v>
      </c>
      <c r="H19" s="49">
        <v>16.33</v>
      </c>
      <c r="I19" s="49">
        <v>16.49</v>
      </c>
      <c r="J19" s="49">
        <v>16.21</v>
      </c>
      <c r="K19" s="49">
        <v>15.93</v>
      </c>
      <c r="L19" s="49">
        <v>15.89</v>
      </c>
      <c r="M19" s="49">
        <v>15.82</v>
      </c>
      <c r="N19" s="73">
        <v>16</v>
      </c>
      <c r="O19" s="73">
        <v>15.985</v>
      </c>
      <c r="P19" s="73">
        <v>15.785</v>
      </c>
      <c r="Q19" s="73">
        <v>15.765</v>
      </c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</row>
    <row r="20" spans="1:33">
      <c r="A20" t="s">
        <v>97</v>
      </c>
      <c r="B20" s="1" t="s">
        <v>98</v>
      </c>
      <c r="C20" s="23">
        <v>0.090909090900909</v>
      </c>
      <c r="D20" s="24">
        <f t="shared" si="0"/>
        <v>909090.90900909</v>
      </c>
      <c r="E20" s="47">
        <f t="shared" si="1"/>
        <v>22124</v>
      </c>
      <c r="F20" s="48">
        <v>41.09</v>
      </c>
      <c r="G20" s="49">
        <v>41.49</v>
      </c>
      <c r="H20" s="49">
        <v>41.44</v>
      </c>
      <c r="I20" s="49">
        <v>41.64</v>
      </c>
      <c r="J20" s="49">
        <v>42.28</v>
      </c>
      <c r="K20" s="49">
        <v>43.74</v>
      </c>
      <c r="L20" s="49">
        <v>43.8</v>
      </c>
      <c r="M20" s="49">
        <v>44.16</v>
      </c>
      <c r="N20" s="73">
        <v>45.57</v>
      </c>
      <c r="O20" s="73">
        <v>46.07</v>
      </c>
      <c r="P20" s="73">
        <v>46.01</v>
      </c>
      <c r="Q20" s="73">
        <v>46.61</v>
      </c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</row>
    <row r="21" spans="1:33">
      <c r="A21" t="s">
        <v>99</v>
      </c>
      <c r="B21" s="1" t="s">
        <v>100</v>
      </c>
      <c r="C21" s="23">
        <v>0.090909090900909</v>
      </c>
      <c r="D21" s="24">
        <f t="shared" si="0"/>
        <v>909090.90900909</v>
      </c>
      <c r="E21" s="47">
        <f t="shared" si="1"/>
        <v>21004</v>
      </c>
      <c r="F21" s="48">
        <v>43.28</v>
      </c>
      <c r="G21" s="49">
        <v>43.31</v>
      </c>
      <c r="H21" s="49">
        <v>42.55</v>
      </c>
      <c r="I21" s="49">
        <v>40.52</v>
      </c>
      <c r="J21" s="49">
        <v>40.92</v>
      </c>
      <c r="K21" s="49">
        <v>41.15</v>
      </c>
      <c r="L21" s="49">
        <v>41.46</v>
      </c>
      <c r="M21" s="49">
        <v>41.34</v>
      </c>
      <c r="N21" s="73">
        <v>42.54</v>
      </c>
      <c r="O21" s="73">
        <v>42.55</v>
      </c>
      <c r="P21" s="73">
        <v>42.63</v>
      </c>
      <c r="Q21" s="73">
        <v>42.76</v>
      </c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</row>
    <row r="22" spans="1:33">
      <c r="A22" t="s">
        <v>101</v>
      </c>
      <c r="B22" s="1" t="s">
        <v>102</v>
      </c>
      <c r="C22" s="23">
        <v>0</v>
      </c>
      <c r="D22" s="24">
        <f t="shared" si="0"/>
        <v>0</v>
      </c>
      <c r="E22" s="47">
        <f t="shared" si="1"/>
        <v>0</v>
      </c>
      <c r="F22" s="48">
        <v>261.4</v>
      </c>
      <c r="G22" s="49">
        <v>267</v>
      </c>
      <c r="H22" s="49">
        <v>269.6</v>
      </c>
      <c r="I22" s="49">
        <v>272.2</v>
      </c>
      <c r="J22" s="49">
        <v>277</v>
      </c>
      <c r="K22" s="49">
        <v>266</v>
      </c>
      <c r="L22" s="49">
        <v>265.6</v>
      </c>
      <c r="M22" s="49">
        <v>256.4</v>
      </c>
      <c r="N22" s="73">
        <v>257.4</v>
      </c>
      <c r="O22" s="73">
        <v>255.2</v>
      </c>
      <c r="P22" s="73">
        <v>256</v>
      </c>
      <c r="Q22" s="73">
        <v>251.6</v>
      </c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</row>
    <row r="23" spans="1:33">
      <c r="A23" t="s">
        <v>103</v>
      </c>
      <c r="B23" s="1" t="s">
        <v>104</v>
      </c>
      <c r="C23" s="23">
        <v>0.090909090900909</v>
      </c>
      <c r="D23" s="24">
        <f t="shared" si="0"/>
        <v>909090.90900909</v>
      </c>
      <c r="E23" s="47">
        <f t="shared" si="1"/>
        <v>4723</v>
      </c>
      <c r="F23" s="48">
        <v>192.45</v>
      </c>
      <c r="G23" s="49">
        <v>196.75</v>
      </c>
      <c r="H23" s="49">
        <v>193.4</v>
      </c>
      <c r="I23" s="49">
        <v>196.15</v>
      </c>
      <c r="J23" s="49">
        <v>208</v>
      </c>
      <c r="K23" s="49">
        <v>211.3</v>
      </c>
      <c r="L23" s="49">
        <v>205.6</v>
      </c>
      <c r="M23" s="49">
        <v>206.3</v>
      </c>
      <c r="N23" s="73">
        <v>205.9</v>
      </c>
      <c r="O23" s="73">
        <v>207.2</v>
      </c>
      <c r="P23" s="73">
        <v>206.6</v>
      </c>
      <c r="Q23" s="73">
        <v>206.6</v>
      </c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</row>
    <row r="24" spans="1:33">
      <c r="A24" t="s">
        <v>105</v>
      </c>
      <c r="B24" s="1" t="s">
        <v>106</v>
      </c>
      <c r="C24" s="23">
        <v>0</v>
      </c>
      <c r="D24" s="24">
        <f t="shared" si="0"/>
        <v>0</v>
      </c>
      <c r="E24" s="47">
        <f t="shared" si="1"/>
        <v>0</v>
      </c>
      <c r="F24" s="48">
        <v>67.18</v>
      </c>
      <c r="G24" s="49">
        <v>67.32</v>
      </c>
      <c r="H24" s="49">
        <v>67.68</v>
      </c>
      <c r="I24" s="49">
        <v>66.92</v>
      </c>
      <c r="J24" s="49">
        <v>69.5</v>
      </c>
      <c r="K24" s="49">
        <v>69.8</v>
      </c>
      <c r="L24" s="49">
        <v>69.88</v>
      </c>
      <c r="M24" s="49">
        <v>71.54</v>
      </c>
      <c r="N24" s="73">
        <v>71.88</v>
      </c>
      <c r="O24" s="73">
        <v>71.62</v>
      </c>
      <c r="P24" s="73">
        <v>71.54</v>
      </c>
      <c r="Q24" s="73">
        <v>71.58</v>
      </c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</row>
    <row r="25" spans="1:33">
      <c r="A25" t="s">
        <v>107</v>
      </c>
      <c r="B25" s="1" t="s">
        <v>108</v>
      </c>
      <c r="C25" s="23">
        <v>0</v>
      </c>
      <c r="D25" s="24">
        <f t="shared" si="0"/>
        <v>0</v>
      </c>
      <c r="E25" s="47">
        <f t="shared" si="1"/>
        <v>0</v>
      </c>
      <c r="F25" s="48">
        <v>33.8</v>
      </c>
      <c r="G25" s="49">
        <v>33.755</v>
      </c>
      <c r="H25" s="49">
        <v>35.3</v>
      </c>
      <c r="I25" s="49">
        <v>34.315</v>
      </c>
      <c r="J25" s="49">
        <v>34.495</v>
      </c>
      <c r="K25" s="49">
        <v>35.46</v>
      </c>
      <c r="L25" s="49">
        <v>35.285</v>
      </c>
      <c r="M25" s="49">
        <v>36.775</v>
      </c>
      <c r="N25" s="73">
        <v>36.615</v>
      </c>
      <c r="O25" s="73">
        <v>36.615</v>
      </c>
      <c r="P25" s="73">
        <v>36.655</v>
      </c>
      <c r="Q25" s="73">
        <v>36.66</v>
      </c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</row>
    <row r="26" spans="1:33">
      <c r="A26" t="s">
        <v>109</v>
      </c>
      <c r="B26" s="1" t="s">
        <v>110</v>
      </c>
      <c r="C26" s="23">
        <v>0.090909090900909</v>
      </c>
      <c r="D26" s="24">
        <f t="shared" si="0"/>
        <v>909090.90900909</v>
      </c>
      <c r="E26" s="47">
        <f t="shared" si="1"/>
        <v>18515</v>
      </c>
      <c r="F26" s="48">
        <v>49.1</v>
      </c>
      <c r="G26" s="49">
        <v>48.77</v>
      </c>
      <c r="H26" s="49">
        <v>49.41</v>
      </c>
      <c r="I26" s="49">
        <v>49.92</v>
      </c>
      <c r="J26" s="49">
        <v>51.04</v>
      </c>
      <c r="K26" s="49">
        <v>52.12</v>
      </c>
      <c r="L26" s="49">
        <v>51.72</v>
      </c>
      <c r="M26" s="49">
        <v>52.24</v>
      </c>
      <c r="N26" s="73">
        <v>52.72</v>
      </c>
      <c r="O26" s="73">
        <v>53.12</v>
      </c>
      <c r="P26" s="73">
        <v>53.51</v>
      </c>
      <c r="Q26" s="73">
        <v>52.8</v>
      </c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</row>
    <row r="27" spans="1:33">
      <c r="A27" t="s">
        <v>111</v>
      </c>
      <c r="B27" s="1" t="s">
        <v>112</v>
      </c>
      <c r="C27" s="23">
        <v>0</v>
      </c>
      <c r="D27" s="24">
        <f t="shared" si="0"/>
        <v>0</v>
      </c>
      <c r="E27" s="47">
        <f t="shared" si="1"/>
        <v>0</v>
      </c>
      <c r="F27" s="48">
        <v>107.15</v>
      </c>
      <c r="G27" s="49">
        <v>108.2</v>
      </c>
      <c r="H27" s="49">
        <v>107.9</v>
      </c>
      <c r="I27" s="49">
        <v>105.55</v>
      </c>
      <c r="J27" s="49">
        <v>104.6</v>
      </c>
      <c r="K27" s="49">
        <v>108.1</v>
      </c>
      <c r="L27" s="49">
        <v>108</v>
      </c>
      <c r="M27" s="49">
        <v>111.05</v>
      </c>
      <c r="N27" s="73">
        <v>111.05</v>
      </c>
      <c r="O27" s="73">
        <v>110.95</v>
      </c>
      <c r="P27" s="73">
        <v>112.05</v>
      </c>
      <c r="Q27" s="73">
        <v>110.75</v>
      </c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</row>
    <row r="28" spans="1:33">
      <c r="A28" t="s">
        <v>113</v>
      </c>
      <c r="B28" s="1" t="s">
        <v>114</v>
      </c>
      <c r="C28" s="23">
        <v>0.090909090900909</v>
      </c>
      <c r="D28" s="24">
        <f t="shared" si="0"/>
        <v>909090.90900909</v>
      </c>
      <c r="E28" s="47">
        <f t="shared" si="1"/>
        <v>2470</v>
      </c>
      <c r="F28" s="48">
        <v>368</v>
      </c>
      <c r="G28" s="49">
        <v>380.2</v>
      </c>
      <c r="H28" s="49">
        <v>375.8</v>
      </c>
      <c r="I28" s="49">
        <v>379.9</v>
      </c>
      <c r="J28" s="49">
        <v>381.7</v>
      </c>
      <c r="K28" s="49">
        <v>384.7</v>
      </c>
      <c r="L28" s="49">
        <v>378.5</v>
      </c>
      <c r="M28" s="49">
        <v>388.3</v>
      </c>
      <c r="N28" s="73">
        <v>381.8</v>
      </c>
      <c r="O28" s="73">
        <v>389.7</v>
      </c>
      <c r="P28" s="73">
        <v>388.3</v>
      </c>
      <c r="Q28" s="73">
        <v>385.2</v>
      </c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</row>
    <row r="29" spans="1:33">
      <c r="A29" t="s">
        <v>115</v>
      </c>
      <c r="B29" s="1" t="s">
        <v>116</v>
      </c>
      <c r="C29" s="23">
        <v>0</v>
      </c>
      <c r="D29" s="24">
        <f t="shared" si="0"/>
        <v>0</v>
      </c>
      <c r="E29" s="47">
        <f t="shared" si="1"/>
        <v>0</v>
      </c>
      <c r="F29" s="48">
        <v>563.8</v>
      </c>
      <c r="G29" s="49">
        <v>577</v>
      </c>
      <c r="H29" s="49">
        <v>580.8</v>
      </c>
      <c r="I29" s="49">
        <v>590.2</v>
      </c>
      <c r="J29" s="49">
        <v>607.8</v>
      </c>
      <c r="K29" s="49">
        <v>564</v>
      </c>
      <c r="L29" s="49">
        <v>567</v>
      </c>
      <c r="M29" s="49">
        <v>552.2</v>
      </c>
      <c r="N29" s="73">
        <v>558.6</v>
      </c>
      <c r="O29" s="73">
        <v>555.2</v>
      </c>
      <c r="P29" s="73">
        <v>556.6</v>
      </c>
      <c r="Q29" s="73">
        <v>557.4</v>
      </c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</row>
    <row r="30" spans="1:33">
      <c r="A30" t="s">
        <v>117</v>
      </c>
      <c r="B30" s="1" t="s">
        <v>118</v>
      </c>
      <c r="C30" s="23">
        <v>0</v>
      </c>
      <c r="D30" s="24">
        <f t="shared" si="0"/>
        <v>0</v>
      </c>
      <c r="E30" s="47">
        <f t="shared" si="1"/>
        <v>0</v>
      </c>
      <c r="F30" s="48">
        <v>34.67</v>
      </c>
      <c r="G30" s="49">
        <v>34.24</v>
      </c>
      <c r="H30" s="49">
        <v>34.75</v>
      </c>
      <c r="I30" s="49">
        <v>34.99</v>
      </c>
      <c r="J30" s="49">
        <v>35.21</v>
      </c>
      <c r="K30" s="49">
        <v>35.89</v>
      </c>
      <c r="L30" s="49">
        <v>36.18</v>
      </c>
      <c r="M30" s="49">
        <v>36.23</v>
      </c>
      <c r="N30" s="73">
        <v>36.62</v>
      </c>
      <c r="O30" s="73">
        <v>36.55</v>
      </c>
      <c r="P30" s="73">
        <v>36.66</v>
      </c>
      <c r="Q30" s="73">
        <v>36.28</v>
      </c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</row>
    <row r="31" spans="1:33">
      <c r="A31" t="s">
        <v>119</v>
      </c>
      <c r="B31" s="1" t="s">
        <v>120</v>
      </c>
      <c r="C31" s="23">
        <v>0</v>
      </c>
      <c r="D31" s="24">
        <f t="shared" si="0"/>
        <v>0</v>
      </c>
      <c r="E31" s="47">
        <f t="shared" si="1"/>
        <v>0</v>
      </c>
      <c r="F31" s="48">
        <v>49.94</v>
      </c>
      <c r="G31" s="49">
        <v>50.25</v>
      </c>
      <c r="H31" s="49">
        <v>49.95</v>
      </c>
      <c r="I31" s="49">
        <v>47.49</v>
      </c>
      <c r="J31" s="49">
        <v>48.36</v>
      </c>
      <c r="K31" s="49">
        <v>48.04</v>
      </c>
      <c r="L31" s="49">
        <v>48.01</v>
      </c>
      <c r="M31" s="49">
        <v>48.97</v>
      </c>
      <c r="N31" s="73">
        <v>49.23</v>
      </c>
      <c r="O31" s="73">
        <v>48.96</v>
      </c>
      <c r="P31" s="73">
        <v>49.35</v>
      </c>
      <c r="Q31" s="73">
        <v>48.65</v>
      </c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</row>
    <row r="32" spans="1:33">
      <c r="A32" t="s">
        <v>121</v>
      </c>
      <c r="B32" s="1" t="s">
        <v>122</v>
      </c>
      <c r="C32" s="23">
        <v>0</v>
      </c>
      <c r="D32" s="24">
        <f t="shared" si="0"/>
        <v>0</v>
      </c>
      <c r="E32" s="47">
        <f t="shared" si="1"/>
        <v>0</v>
      </c>
      <c r="F32" s="48">
        <v>1707.5</v>
      </c>
      <c r="G32" s="49">
        <v>1765</v>
      </c>
      <c r="H32" s="49">
        <v>1769</v>
      </c>
      <c r="I32" s="49">
        <v>1783.5</v>
      </c>
      <c r="J32" s="49">
        <v>1641</v>
      </c>
      <c r="K32" s="49">
        <v>1620.5</v>
      </c>
      <c r="L32" s="49">
        <v>1545.5</v>
      </c>
      <c r="M32" s="49">
        <v>1563</v>
      </c>
      <c r="N32" s="73">
        <v>1597</v>
      </c>
      <c r="O32" s="73">
        <v>1641</v>
      </c>
      <c r="P32" s="73">
        <v>1621</v>
      </c>
      <c r="Q32" s="73">
        <v>1648</v>
      </c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</row>
    <row r="33" spans="1:33">
      <c r="A33" t="s">
        <v>123</v>
      </c>
      <c r="B33" s="1" t="s">
        <v>124</v>
      </c>
      <c r="C33" s="23">
        <v>0</v>
      </c>
      <c r="D33" s="24">
        <f t="shared" si="0"/>
        <v>0</v>
      </c>
      <c r="E33" s="47">
        <f t="shared" si="1"/>
        <v>0</v>
      </c>
      <c r="F33" s="48">
        <v>35.8</v>
      </c>
      <c r="G33" s="49">
        <v>36.23</v>
      </c>
      <c r="H33" s="49">
        <v>36.49</v>
      </c>
      <c r="I33" s="49">
        <v>36.62</v>
      </c>
      <c r="J33" s="49">
        <v>36.14</v>
      </c>
      <c r="K33" s="49">
        <v>35.9</v>
      </c>
      <c r="L33" s="49">
        <v>35.55</v>
      </c>
      <c r="M33" s="49">
        <v>35.52</v>
      </c>
      <c r="N33" s="73">
        <v>35.47</v>
      </c>
      <c r="O33" s="73">
        <v>34.58</v>
      </c>
      <c r="P33" s="73">
        <v>34.83</v>
      </c>
      <c r="Q33" s="73">
        <v>35.19</v>
      </c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</row>
    <row r="34" spans="1:33">
      <c r="A34" t="s">
        <v>125</v>
      </c>
      <c r="B34" s="1" t="s">
        <v>126</v>
      </c>
      <c r="C34" s="23">
        <v>0.090909090900909</v>
      </c>
      <c r="D34" s="24">
        <f t="shared" si="0"/>
        <v>909090.90900909</v>
      </c>
      <c r="E34" s="47">
        <f t="shared" si="1"/>
        <v>3715</v>
      </c>
      <c r="F34" s="48">
        <v>244.65</v>
      </c>
      <c r="G34" s="49">
        <v>244.75</v>
      </c>
      <c r="H34" s="49">
        <v>246.65</v>
      </c>
      <c r="I34" s="49">
        <v>248.85</v>
      </c>
      <c r="J34" s="49">
        <v>254.75</v>
      </c>
      <c r="K34" s="49">
        <v>250.1</v>
      </c>
      <c r="L34" s="49">
        <v>249.35</v>
      </c>
      <c r="M34" s="49">
        <v>232</v>
      </c>
      <c r="N34" s="73">
        <v>239</v>
      </c>
      <c r="O34" s="73">
        <v>239.65</v>
      </c>
      <c r="P34" s="73">
        <v>237</v>
      </c>
      <c r="Q34" s="73">
        <v>236.65</v>
      </c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</row>
    <row r="35" spans="1:33">
      <c r="A35" t="s">
        <v>127</v>
      </c>
      <c r="B35" s="1" t="s">
        <v>128</v>
      </c>
      <c r="C35" s="23">
        <v>0.090909090900909</v>
      </c>
      <c r="D35" s="24">
        <f t="shared" si="0"/>
        <v>909090.90900909</v>
      </c>
      <c r="E35" s="47">
        <f t="shared" si="1"/>
        <v>6076</v>
      </c>
      <c r="F35" s="48">
        <v>149.6</v>
      </c>
      <c r="G35" s="49">
        <v>149.2</v>
      </c>
      <c r="H35" s="49">
        <v>147.4</v>
      </c>
      <c r="I35" s="49">
        <v>146.6</v>
      </c>
      <c r="J35" s="49">
        <v>148.6</v>
      </c>
      <c r="K35" s="49">
        <v>149</v>
      </c>
      <c r="L35" s="49">
        <v>149.6</v>
      </c>
      <c r="M35" s="49">
        <v>163.2</v>
      </c>
      <c r="N35" s="73">
        <v>161.8</v>
      </c>
      <c r="O35" s="73">
        <v>160.8</v>
      </c>
      <c r="P35" s="73">
        <v>160.8</v>
      </c>
      <c r="Q35" s="73">
        <v>160.2</v>
      </c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</row>
    <row r="36" spans="1:33">
      <c r="A36" t="s">
        <v>129</v>
      </c>
      <c r="B36" s="1" t="s">
        <v>130</v>
      </c>
      <c r="C36" s="23">
        <v>0</v>
      </c>
      <c r="D36" s="24">
        <f t="shared" si="0"/>
        <v>0</v>
      </c>
      <c r="E36" s="47">
        <f t="shared" si="1"/>
        <v>0</v>
      </c>
      <c r="F36" s="48">
        <v>212.95</v>
      </c>
      <c r="G36" s="49">
        <v>216.8</v>
      </c>
      <c r="H36" s="49">
        <v>218.8</v>
      </c>
      <c r="I36" s="49">
        <v>219</v>
      </c>
      <c r="J36" s="49">
        <v>227.1</v>
      </c>
      <c r="K36" s="49">
        <v>232.4</v>
      </c>
      <c r="L36" s="49">
        <v>228.05</v>
      </c>
      <c r="M36" s="49">
        <v>231.1</v>
      </c>
      <c r="N36" s="73">
        <v>230.25</v>
      </c>
      <c r="O36" s="73">
        <v>233.25</v>
      </c>
      <c r="P36" s="73">
        <v>234.25</v>
      </c>
      <c r="Q36" s="73">
        <v>233.55</v>
      </c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</row>
    <row r="37" spans="1:33">
      <c r="A37" t="s">
        <v>131</v>
      </c>
      <c r="B37" s="1" t="s">
        <v>132</v>
      </c>
      <c r="C37" s="23">
        <v>0.090909090900909</v>
      </c>
      <c r="D37" s="24">
        <f t="shared" si="0"/>
        <v>909090.90900909</v>
      </c>
      <c r="E37" s="47">
        <f t="shared" si="1"/>
        <v>19579</v>
      </c>
      <c r="F37" s="48">
        <v>46.43</v>
      </c>
      <c r="G37" s="49">
        <v>46.24</v>
      </c>
      <c r="H37" s="49">
        <v>45.77</v>
      </c>
      <c r="I37" s="49">
        <v>45.61</v>
      </c>
      <c r="J37" s="49">
        <v>46.17</v>
      </c>
      <c r="K37" s="49">
        <v>46.43</v>
      </c>
      <c r="L37" s="49">
        <v>45.89</v>
      </c>
      <c r="M37" s="49">
        <v>46.27</v>
      </c>
      <c r="N37" s="73">
        <v>46.48</v>
      </c>
      <c r="O37" s="73">
        <v>46.78</v>
      </c>
      <c r="P37" s="73">
        <v>47.07</v>
      </c>
      <c r="Q37" s="73">
        <v>47.23</v>
      </c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</row>
    <row r="38" spans="1:33">
      <c r="A38" t="s">
        <v>133</v>
      </c>
      <c r="B38" s="1" t="s">
        <v>134</v>
      </c>
      <c r="C38" s="23">
        <v>0</v>
      </c>
      <c r="D38" s="24">
        <f t="shared" si="0"/>
        <v>0</v>
      </c>
      <c r="E38" s="47">
        <f t="shared" si="1"/>
        <v>0</v>
      </c>
      <c r="F38" s="48">
        <v>78.22</v>
      </c>
      <c r="G38" s="49">
        <v>80.98</v>
      </c>
      <c r="H38" s="49">
        <v>80.32</v>
      </c>
      <c r="I38" s="49">
        <v>79.44</v>
      </c>
      <c r="J38" s="49">
        <v>80</v>
      </c>
      <c r="K38" s="49">
        <v>79.46</v>
      </c>
      <c r="L38" s="49">
        <v>78.84</v>
      </c>
      <c r="M38" s="49">
        <v>78.52</v>
      </c>
      <c r="N38" s="73">
        <v>79.26</v>
      </c>
      <c r="O38" s="73">
        <v>79.66</v>
      </c>
      <c r="P38" s="73">
        <v>79.84</v>
      </c>
      <c r="Q38" s="73">
        <v>80.72</v>
      </c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</row>
    <row r="39" spans="1:33">
      <c r="A39" t="s">
        <v>135</v>
      </c>
      <c r="B39" s="1" t="s">
        <v>136</v>
      </c>
      <c r="C39" s="23">
        <v>0</v>
      </c>
      <c r="D39" s="24">
        <f t="shared" si="0"/>
        <v>0</v>
      </c>
      <c r="E39" s="47">
        <f t="shared" si="1"/>
        <v>0</v>
      </c>
      <c r="F39" s="48">
        <v>91.35</v>
      </c>
      <c r="G39" s="49">
        <v>90.9</v>
      </c>
      <c r="H39" s="49">
        <v>92.7</v>
      </c>
      <c r="I39" s="49">
        <v>93.65</v>
      </c>
      <c r="J39" s="49">
        <v>95.7</v>
      </c>
      <c r="K39" s="49">
        <v>97.7</v>
      </c>
      <c r="L39" s="49">
        <v>99.1</v>
      </c>
      <c r="M39" s="49">
        <v>100.1</v>
      </c>
      <c r="N39" s="73">
        <v>100.8</v>
      </c>
      <c r="O39" s="73">
        <v>101</v>
      </c>
      <c r="P39" s="73">
        <v>102</v>
      </c>
      <c r="Q39" s="73">
        <v>101</v>
      </c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</row>
    <row r="40" spans="1:33">
      <c r="A40" t="s">
        <v>137</v>
      </c>
      <c r="B40" s="1" t="s">
        <v>138</v>
      </c>
      <c r="C40" s="23">
        <v>0</v>
      </c>
      <c r="D40" s="24">
        <f t="shared" si="0"/>
        <v>0</v>
      </c>
      <c r="E40" s="47">
        <f t="shared" si="1"/>
        <v>0</v>
      </c>
      <c r="F40" s="48">
        <v>27.07</v>
      </c>
      <c r="G40" s="49">
        <v>27.35</v>
      </c>
      <c r="H40" s="49">
        <v>27.36</v>
      </c>
      <c r="I40" s="49">
        <v>28.31</v>
      </c>
      <c r="J40" s="49">
        <v>28.37</v>
      </c>
      <c r="K40" s="49">
        <v>28.36</v>
      </c>
      <c r="L40" s="49">
        <v>28.47</v>
      </c>
      <c r="M40" s="49">
        <v>28.11</v>
      </c>
      <c r="N40" s="73">
        <v>28.15</v>
      </c>
      <c r="O40" s="73">
        <v>28.73</v>
      </c>
      <c r="P40" s="73">
        <v>28.5</v>
      </c>
      <c r="Q40" s="73">
        <v>28.15</v>
      </c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</row>
    <row r="41" spans="1:33">
      <c r="A41" t="s">
        <v>139</v>
      </c>
      <c r="B41" s="1" t="s">
        <v>140</v>
      </c>
      <c r="C41" s="23">
        <v>0</v>
      </c>
      <c r="D41" s="24">
        <f t="shared" si="0"/>
        <v>0</v>
      </c>
      <c r="E41" s="47">
        <f t="shared" si="1"/>
        <v>0</v>
      </c>
      <c r="F41" s="48">
        <v>24.96</v>
      </c>
      <c r="G41" s="49">
        <v>25.59</v>
      </c>
      <c r="H41" s="49">
        <v>25.28</v>
      </c>
      <c r="I41" s="49">
        <v>23</v>
      </c>
      <c r="J41" s="49">
        <v>23.09</v>
      </c>
      <c r="K41" s="49">
        <v>23.41</v>
      </c>
      <c r="L41" s="49">
        <v>22.92</v>
      </c>
      <c r="M41" s="49">
        <v>23</v>
      </c>
      <c r="N41" s="73">
        <v>23.55</v>
      </c>
      <c r="O41" s="73">
        <v>23.47</v>
      </c>
      <c r="P41" s="73">
        <v>23.11</v>
      </c>
      <c r="Q41" s="73">
        <v>23.34</v>
      </c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</row>
    <row r="42" spans="1:17">
      <c r="A42" s="9" t="s">
        <v>52</v>
      </c>
      <c r="B42" s="25" t="s">
        <v>141</v>
      </c>
      <c r="C42" s="26">
        <v>1</v>
      </c>
      <c r="D42" s="27">
        <f>D1</f>
        <v>10000000</v>
      </c>
      <c r="E42" s="50">
        <f t="shared" si="1"/>
        <v>426</v>
      </c>
      <c r="F42" s="51">
        <v>23425.97</v>
      </c>
      <c r="G42" s="52">
        <v>23757.69</v>
      </c>
      <c r="H42" s="52">
        <v>23846.07</v>
      </c>
      <c r="I42" s="52">
        <v>23924.36</v>
      </c>
      <c r="J42" s="52">
        <v>24192.5</v>
      </c>
      <c r="K42" s="9">
        <v>24162.86</v>
      </c>
      <c r="L42" s="9">
        <v>24081.34</v>
      </c>
      <c r="M42" s="9">
        <v>24024.78</v>
      </c>
      <c r="N42" s="9">
        <v>24185.59</v>
      </c>
      <c r="O42" s="9">
        <v>24377.5</v>
      </c>
      <c r="P42" s="9">
        <v>24359.3</v>
      </c>
      <c r="Q42" s="9">
        <v>24314.77</v>
      </c>
    </row>
    <row r="43" s="7" customFormat="1" spans="1:10">
      <c r="A43" s="7" t="s">
        <v>54</v>
      </c>
      <c r="B43" s="76"/>
      <c r="C43" s="77">
        <f>SUM(C5:C41)</f>
        <v>0.999999999909999</v>
      </c>
      <c r="D43" s="78">
        <f>SUM(D5:D41)</f>
        <v>9999999.99909999</v>
      </c>
      <c r="E43" s="50"/>
      <c r="F43" s="51"/>
      <c r="G43" s="56"/>
      <c r="H43" s="56"/>
      <c r="I43" s="56"/>
      <c r="J43" s="56"/>
    </row>
    <row r="44" s="8" customFormat="1" spans="1:11">
      <c r="A44"/>
      <c r="B44" s="1"/>
      <c r="C44" s="23"/>
      <c r="D44" s="32"/>
      <c r="E44" s="57"/>
      <c r="F44" s="58"/>
      <c r="G44" s="49"/>
      <c r="H44" s="49"/>
      <c r="I44" s="49"/>
      <c r="J44" s="49"/>
      <c r="K44"/>
    </row>
    <row r="45" spans="2:33">
      <c r="B45" s="1"/>
      <c r="C45" s="79"/>
      <c r="D45" s="32"/>
      <c r="E45" s="57"/>
      <c r="F45" s="58"/>
      <c r="G45" s="49"/>
      <c r="H45" s="49"/>
      <c r="I45" s="49"/>
      <c r="J45" s="49"/>
      <c r="K45" s="80"/>
      <c r="L45" s="49"/>
      <c r="M45" s="49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</row>
    <row r="46" spans="2:11">
      <c r="B46" s="1"/>
      <c r="C46" s="4"/>
      <c r="D46" s="32"/>
      <c r="E46" s="57"/>
      <c r="F46" s="58"/>
      <c r="G46" s="49"/>
      <c r="H46" s="49"/>
      <c r="I46" s="49"/>
      <c r="J46" s="49"/>
      <c r="K46" s="72"/>
    </row>
    <row r="47" s="7" customFormat="1" spans="1:33">
      <c r="A47" s="7" t="s">
        <v>55</v>
      </c>
      <c r="E47" s="62"/>
      <c r="F47" s="51">
        <v>0</v>
      </c>
      <c r="G47" s="56" cm="1">
        <f t="array" ref="G47">SUMPRODUCT((G5:G41-F5:F41),$E5:$E41)</f>
        <v>84409.8050000002</v>
      </c>
      <c r="H47" s="56" cm="1">
        <f t="array" ref="H47">SUMPRODUCT((H5:H41-G5:G41),$E5:$E41)</f>
        <v>-55085.9400000002</v>
      </c>
      <c r="I47" s="56" cm="1">
        <f t="array" ref="I47">SUMPRODUCT((I5:I41-H5:H41),$E5:$E41)</f>
        <v>3050.21000000008</v>
      </c>
      <c r="J47" s="56" cm="1">
        <f t="array" ref="J47">SUMPRODUCT((J5:J41-I5:I41),$E5:$E41)</f>
        <v>205765.045</v>
      </c>
      <c r="K47" s="56" cm="1">
        <f t="array" ref="K47">SUMPRODUCT((K5:K41-J5:J41),$E5:$E41)</f>
        <v>89084.6449999998</v>
      </c>
      <c r="L47" s="56" cm="1">
        <f t="array" ref="L47">SUMPRODUCT((L5:L41-K5:K41),$E5:$E41)</f>
        <v>-57290.5300000002</v>
      </c>
      <c r="M47" s="56" cm="1">
        <f t="array" ref="M47">SUMPRODUCT((M5:M41-L5:L41),$E5:$E41)</f>
        <v>46600.0950000004</v>
      </c>
      <c r="N47" s="56" cm="1">
        <f t="array" ref="N47">SUMPRODUCT((N5:N41-M5:M41),$E5:$E41)</f>
        <v>80756.2699999999</v>
      </c>
      <c r="O47" s="56" cm="1">
        <f t="array" ref="O47">SUMPRODUCT((O5:O41-N5:N41),$E5:$E41)</f>
        <v>71155.2099999999</v>
      </c>
      <c r="P47" s="56" cm="1">
        <f t="array" ref="P47">SUMPRODUCT((P5:P41-O5:O41),$E5:$E41)</f>
        <v>-20532.9199999999</v>
      </c>
      <c r="Q47" s="56" cm="1">
        <f t="array" ref="Q47">SUMPRODUCT((Q5:Q41-P5:P41),$E5:$E41)</f>
        <v>552.249999999734</v>
      </c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</row>
    <row r="48" s="7" customFormat="1" spans="1:33">
      <c r="A48" s="7" t="s">
        <v>56</v>
      </c>
      <c r="E48" s="62"/>
      <c r="F48" s="63">
        <v>0</v>
      </c>
      <c r="G48" s="64">
        <f>G47/$D$43</f>
        <v>0.00844098050075972</v>
      </c>
      <c r="H48" s="64">
        <f t="shared" ref="H48:Q48" si="2">H47/$D$43</f>
        <v>-0.0055085940004958</v>
      </c>
      <c r="I48" s="64">
        <f t="shared" si="2"/>
        <v>0.00030502100002746</v>
      </c>
      <c r="J48" s="64">
        <f t="shared" si="2"/>
        <v>0.0205765045018519</v>
      </c>
      <c r="K48" s="64">
        <f t="shared" si="2"/>
        <v>0.00890846450080175</v>
      </c>
      <c r="L48" s="64">
        <f t="shared" si="2"/>
        <v>-0.00572905300051565</v>
      </c>
      <c r="M48" s="64">
        <f t="shared" si="2"/>
        <v>0.00466000950041945</v>
      </c>
      <c r="N48" s="64">
        <f t="shared" si="2"/>
        <v>0.00807562700072681</v>
      </c>
      <c r="O48" s="64">
        <f t="shared" si="2"/>
        <v>0.0071155210006404</v>
      </c>
      <c r="P48" s="64">
        <f t="shared" si="2"/>
        <v>-0.00205329200018479</v>
      </c>
      <c r="Q48" s="64">
        <f t="shared" si="2"/>
        <v>5.52250000049437e-5</v>
      </c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</row>
    <row r="49" s="7" customFormat="1" spans="1:33">
      <c r="A49" s="7" t="s">
        <v>57</v>
      </c>
      <c r="E49" s="62"/>
      <c r="F49" s="51">
        <v>0</v>
      </c>
      <c r="G49" s="65">
        <f>G47</f>
        <v>84409.8050000002</v>
      </c>
      <c r="H49" s="65">
        <f>G49+H47</f>
        <v>29323.865</v>
      </c>
      <c r="I49" s="65">
        <f t="shared" ref="I49:L49" si="3">H49+I47</f>
        <v>32374.0750000001</v>
      </c>
      <c r="J49" s="65">
        <f t="shared" si="3"/>
        <v>238139.12</v>
      </c>
      <c r="K49" s="65">
        <f t="shared" si="3"/>
        <v>327223.765</v>
      </c>
      <c r="L49" s="65">
        <f t="shared" si="3"/>
        <v>269933.235</v>
      </c>
      <c r="M49" s="65">
        <f t="shared" ref="M49:Q49" si="4">L49+M47</f>
        <v>316533.33</v>
      </c>
      <c r="N49" s="65">
        <f t="shared" si="4"/>
        <v>397289.6</v>
      </c>
      <c r="O49" s="65">
        <f t="shared" si="4"/>
        <v>468444.81</v>
      </c>
      <c r="P49" s="65">
        <f t="shared" si="4"/>
        <v>447911.89</v>
      </c>
      <c r="Q49" s="65">
        <f t="shared" si="4"/>
        <v>448464.14</v>
      </c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</row>
    <row r="50" s="10" customFormat="1" spans="1:33">
      <c r="A50" s="10" t="s">
        <v>58</v>
      </c>
      <c r="E50" s="62"/>
      <c r="F50" s="63">
        <v>0</v>
      </c>
      <c r="G50" s="66">
        <f t="shared" ref="G50:Q50" si="5">G49/$D$43</f>
        <v>0.00844098050075972</v>
      </c>
      <c r="H50" s="66">
        <f t="shared" si="5"/>
        <v>0.00293238650026392</v>
      </c>
      <c r="I50" s="66">
        <f t="shared" si="5"/>
        <v>0.00323740750029138</v>
      </c>
      <c r="J50" s="66">
        <f t="shared" si="5"/>
        <v>0.0238139120021433</v>
      </c>
      <c r="K50" s="66">
        <f t="shared" si="5"/>
        <v>0.0327223765029451</v>
      </c>
      <c r="L50" s="66">
        <f t="shared" si="5"/>
        <v>0.0269933235024294</v>
      </c>
      <c r="M50" s="66">
        <f t="shared" si="5"/>
        <v>0.0316533330028489</v>
      </c>
      <c r="N50" s="66">
        <f t="shared" si="5"/>
        <v>0.0397289600035757</v>
      </c>
      <c r="O50" s="66">
        <f t="shared" si="5"/>
        <v>0.0468444810042161</v>
      </c>
      <c r="P50" s="66">
        <f t="shared" si="5"/>
        <v>0.0447911890040313</v>
      </c>
      <c r="Q50" s="66">
        <f t="shared" si="5"/>
        <v>0.0448464140040362</v>
      </c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</row>
    <row r="51" spans="6:25">
      <c r="F51" s="67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</row>
    <row r="52" s="7" customFormat="1" spans="1:17">
      <c r="A52" s="7" t="s">
        <v>59</v>
      </c>
      <c r="E52" s="69"/>
      <c r="F52" s="51">
        <v>0</v>
      </c>
      <c r="G52" s="56">
        <f>(G42-F42)*$E$42</f>
        <v>141312.719999999</v>
      </c>
      <c r="H52" s="56">
        <f t="shared" ref="H52:Q52" si="6">(H42-G42)*$E$42</f>
        <v>37649.8800000004</v>
      </c>
      <c r="I52" s="56">
        <f t="shared" si="6"/>
        <v>33351.5400000004</v>
      </c>
      <c r="J52" s="56">
        <f t="shared" si="6"/>
        <v>114227.64</v>
      </c>
      <c r="K52" s="56">
        <f t="shared" si="6"/>
        <v>-12626.6399999998</v>
      </c>
      <c r="L52" s="56">
        <f t="shared" si="6"/>
        <v>-34727.5200000002</v>
      </c>
      <c r="M52" s="56">
        <f t="shared" si="6"/>
        <v>-24094.5600000006</v>
      </c>
      <c r="N52" s="56">
        <f t="shared" si="6"/>
        <v>68505.0600000006</v>
      </c>
      <c r="O52" s="56">
        <f t="shared" si="6"/>
        <v>81753.6599999999</v>
      </c>
      <c r="P52" s="56">
        <f t="shared" si="6"/>
        <v>-7753.20000000031</v>
      </c>
      <c r="Q52" s="56">
        <f t="shared" si="6"/>
        <v>-18969.7799999995</v>
      </c>
    </row>
    <row r="53" s="7" customFormat="1" spans="1:17">
      <c r="A53" s="7" t="s">
        <v>60</v>
      </c>
      <c r="E53" s="69"/>
      <c r="F53" s="63">
        <v>0</v>
      </c>
      <c r="G53" s="64">
        <f>G52/$D$42</f>
        <v>0.0141312719999999</v>
      </c>
      <c r="H53" s="64">
        <f t="shared" ref="H53:Q53" si="7">H52/$D$42</f>
        <v>0.00376498800000004</v>
      </c>
      <c r="I53" s="64">
        <f t="shared" si="7"/>
        <v>0.00333515400000004</v>
      </c>
      <c r="J53" s="64">
        <f t="shared" si="7"/>
        <v>0.011422764</v>
      </c>
      <c r="K53" s="64">
        <f t="shared" si="7"/>
        <v>-0.00126266399999998</v>
      </c>
      <c r="L53" s="64">
        <f t="shared" si="7"/>
        <v>-0.00347275200000002</v>
      </c>
      <c r="M53" s="64">
        <f t="shared" si="7"/>
        <v>-0.00240945600000006</v>
      </c>
      <c r="N53" s="64">
        <f t="shared" si="7"/>
        <v>0.00685050600000005</v>
      </c>
      <c r="O53" s="64">
        <f t="shared" si="7"/>
        <v>0.00817536599999999</v>
      </c>
      <c r="P53" s="64">
        <f t="shared" si="7"/>
        <v>-0.000775320000000031</v>
      </c>
      <c r="Q53" s="64">
        <f t="shared" si="7"/>
        <v>-0.00189697799999995</v>
      </c>
    </row>
    <row r="54" s="7" customFormat="1" spans="1:17">
      <c r="A54" s="7" t="s">
        <v>61</v>
      </c>
      <c r="E54" s="69"/>
      <c r="F54" s="51">
        <v>0</v>
      </c>
      <c r="G54" s="56">
        <f>G52</f>
        <v>141312.719999999</v>
      </c>
      <c r="H54" s="56">
        <f>G54+H52</f>
        <v>178962.599999999</v>
      </c>
      <c r="I54" s="56">
        <f t="shared" ref="I54:Q54" si="8">H54+I52</f>
        <v>212314.14</v>
      </c>
      <c r="J54" s="56">
        <f t="shared" si="8"/>
        <v>326541.78</v>
      </c>
      <c r="K54" s="56">
        <f t="shared" si="8"/>
        <v>313915.14</v>
      </c>
      <c r="L54" s="56">
        <f t="shared" si="8"/>
        <v>279187.62</v>
      </c>
      <c r="M54" s="56">
        <f t="shared" si="8"/>
        <v>255093.059999999</v>
      </c>
      <c r="N54" s="56">
        <f t="shared" si="8"/>
        <v>323598.12</v>
      </c>
      <c r="O54" s="56">
        <f t="shared" si="8"/>
        <v>405351.78</v>
      </c>
      <c r="P54" s="56">
        <f t="shared" si="8"/>
        <v>397598.579999999</v>
      </c>
      <c r="Q54" s="56">
        <f t="shared" si="8"/>
        <v>378628.8</v>
      </c>
    </row>
    <row r="55" s="7" customFormat="1" spans="1:17">
      <c r="A55" s="10" t="s">
        <v>62</v>
      </c>
      <c r="E55" s="69"/>
      <c r="F55" s="63">
        <v>0</v>
      </c>
      <c r="G55" s="66">
        <f>G54/$D$42</f>
        <v>0.0141312719999999</v>
      </c>
      <c r="H55" s="66">
        <f t="shared" ref="H55:Q55" si="9">H54/$D$42</f>
        <v>0.0178962599999999</v>
      </c>
      <c r="I55" s="66">
        <f t="shared" si="9"/>
        <v>0.021231414</v>
      </c>
      <c r="J55" s="66">
        <f t="shared" si="9"/>
        <v>0.032654178</v>
      </c>
      <c r="K55" s="66">
        <f t="shared" si="9"/>
        <v>0.031391514</v>
      </c>
      <c r="L55" s="66">
        <f t="shared" si="9"/>
        <v>0.027918762</v>
      </c>
      <c r="M55" s="66">
        <f t="shared" si="9"/>
        <v>0.0255093059999999</v>
      </c>
      <c r="N55" s="66">
        <f t="shared" si="9"/>
        <v>0.032359812</v>
      </c>
      <c r="O55" s="66">
        <f t="shared" si="9"/>
        <v>0.040535178</v>
      </c>
      <c r="P55" s="66">
        <f t="shared" si="9"/>
        <v>0.0397598579999999</v>
      </c>
      <c r="Q55" s="66">
        <f t="shared" si="9"/>
        <v>0.03786288</v>
      </c>
    </row>
    <row r="57" s="7" customFormat="1" spans="1:17">
      <c r="A57" s="7" t="s">
        <v>63</v>
      </c>
      <c r="E57" s="69"/>
      <c r="F57" s="56">
        <f>F47-F52</f>
        <v>0</v>
      </c>
      <c r="G57" s="56">
        <f t="shared" ref="G57:Q57" si="10">G47-G52</f>
        <v>-56902.9149999987</v>
      </c>
      <c r="H57" s="56">
        <f t="shared" si="10"/>
        <v>-92735.8200000006</v>
      </c>
      <c r="I57" s="56">
        <f t="shared" si="10"/>
        <v>-30301.3300000003</v>
      </c>
      <c r="J57" s="56">
        <f t="shared" si="10"/>
        <v>91537.4050000004</v>
      </c>
      <c r="K57" s="56">
        <f t="shared" si="10"/>
        <v>101711.285</v>
      </c>
      <c r="L57" s="56">
        <f t="shared" si="10"/>
        <v>-22563.0100000001</v>
      </c>
      <c r="M57" s="56">
        <f t="shared" si="10"/>
        <v>70694.655000001</v>
      </c>
      <c r="N57" s="56">
        <f t="shared" si="10"/>
        <v>12251.2099999994</v>
      </c>
      <c r="O57" s="56">
        <f t="shared" si="10"/>
        <v>-10598.45</v>
      </c>
      <c r="P57" s="56">
        <f t="shared" si="10"/>
        <v>-12779.7199999996</v>
      </c>
      <c r="Q57" s="56">
        <f t="shared" si="10"/>
        <v>19522.0299999992</v>
      </c>
    </row>
    <row r="58" s="7" customFormat="1" spans="1:17">
      <c r="A58" s="7" t="s">
        <v>64</v>
      </c>
      <c r="E58" s="69"/>
      <c r="F58" s="70">
        <f t="shared" ref="F58:Q60" si="11">F48-F53</f>
        <v>0</v>
      </c>
      <c r="G58" s="70">
        <f t="shared" si="11"/>
        <v>-0.00569029149924018</v>
      </c>
      <c r="H58" s="70">
        <f t="shared" si="11"/>
        <v>-0.00927358200049585</v>
      </c>
      <c r="I58" s="70">
        <f t="shared" si="11"/>
        <v>-0.00303013299997258</v>
      </c>
      <c r="J58" s="70">
        <f t="shared" si="11"/>
        <v>0.00915374050185195</v>
      </c>
      <c r="K58" s="70">
        <f t="shared" si="11"/>
        <v>0.0101711285008017</v>
      </c>
      <c r="L58" s="70">
        <f t="shared" si="11"/>
        <v>-0.00225630100051563</v>
      </c>
      <c r="M58" s="70">
        <f t="shared" si="11"/>
        <v>0.0070694655004195</v>
      </c>
      <c r="N58" s="70">
        <f t="shared" si="11"/>
        <v>0.00122512100072675</v>
      </c>
      <c r="O58" s="70">
        <f t="shared" si="11"/>
        <v>-0.0010598449993596</v>
      </c>
      <c r="P58" s="70">
        <f t="shared" si="11"/>
        <v>-0.00127797200018476</v>
      </c>
      <c r="Q58" s="70">
        <f t="shared" si="11"/>
        <v>0.00195220300000489</v>
      </c>
    </row>
    <row r="59" s="7" customFormat="1" spans="1:17">
      <c r="A59" s="7" t="s">
        <v>65</v>
      </c>
      <c r="E59" s="69"/>
      <c r="F59" s="56">
        <f t="shared" si="11"/>
        <v>0</v>
      </c>
      <c r="G59" s="56">
        <f t="shared" si="11"/>
        <v>-56902.9149999987</v>
      </c>
      <c r="H59" s="56">
        <f t="shared" si="11"/>
        <v>-149638.734999999</v>
      </c>
      <c r="I59" s="56">
        <f t="shared" si="11"/>
        <v>-179940.065</v>
      </c>
      <c r="J59" s="56">
        <f t="shared" si="11"/>
        <v>-88402.6599999994</v>
      </c>
      <c r="K59" s="56">
        <f t="shared" si="11"/>
        <v>13308.6250000002</v>
      </c>
      <c r="L59" s="56">
        <f t="shared" si="11"/>
        <v>-9254.38499999983</v>
      </c>
      <c r="M59" s="56">
        <f t="shared" si="11"/>
        <v>61440.2700000012</v>
      </c>
      <c r="N59" s="56">
        <f t="shared" si="11"/>
        <v>73691.4800000005</v>
      </c>
      <c r="O59" s="56">
        <f t="shared" si="11"/>
        <v>63093.0300000004</v>
      </c>
      <c r="P59" s="56">
        <f t="shared" si="11"/>
        <v>50313.3100000008</v>
      </c>
      <c r="Q59" s="56">
        <f t="shared" si="11"/>
        <v>69835.34</v>
      </c>
    </row>
    <row r="60" s="7" customFormat="1" spans="1:17">
      <c r="A60" s="7" t="s">
        <v>66</v>
      </c>
      <c r="E60" s="69"/>
      <c r="F60" s="70">
        <f t="shared" si="11"/>
        <v>0</v>
      </c>
      <c r="G60" s="70">
        <f t="shared" ref="G60:Q60" si="12">G50-G55</f>
        <v>-0.00569029149924018</v>
      </c>
      <c r="H60" s="70">
        <f t="shared" si="12"/>
        <v>-0.014963873499736</v>
      </c>
      <c r="I60" s="70">
        <f t="shared" si="12"/>
        <v>-0.0179940064997086</v>
      </c>
      <c r="J60" s="70">
        <f t="shared" si="12"/>
        <v>-0.00884026599785666</v>
      </c>
      <c r="K60" s="70">
        <f t="shared" si="12"/>
        <v>0.00133086250294507</v>
      </c>
      <c r="L60" s="70">
        <f t="shared" si="12"/>
        <v>-0.000925438497570551</v>
      </c>
      <c r="M60" s="70">
        <f t="shared" si="12"/>
        <v>0.00614402700284895</v>
      </c>
      <c r="N60" s="70">
        <f t="shared" si="12"/>
        <v>0.0073691480035757</v>
      </c>
      <c r="O60" s="70">
        <f t="shared" si="12"/>
        <v>0.0063093030042161</v>
      </c>
      <c r="P60" s="70">
        <f t="shared" si="12"/>
        <v>0.00503133100403134</v>
      </c>
      <c r="Q60" s="70">
        <f t="shared" si="12"/>
        <v>0.00698353400403624</v>
      </c>
    </row>
  </sheetData>
  <mergeCells count="1">
    <mergeCell ref="E1:F2"/>
  </mergeCells>
  <conditionalFormatting sqref="C4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{f654f83b-6081-4a64-9c29-1ae559b351e2}</x14:id>
        </ext>
      </extLst>
    </cfRule>
  </conditionalFormatting>
  <conditionalFormatting sqref="C5:C4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{8e0186cf-d2f2-4f75-b2e3-9dc4fbd6e2e2}</x14:id>
        </ext>
      </extLst>
    </cfRule>
  </conditionalFormatting>
  <pageMargins left="0.75" right="0.75" top="1" bottom="1" header="0.5" footer="0.5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54f83b-6081-4a64-9c29-1ae559b351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C42</xm:sqref>
        </x14:conditionalFormatting>
        <x14:conditionalFormatting xmlns:xm="http://schemas.microsoft.com/office/excel/2006/main">
          <x14:cfRule type="dataBar" id="{8e0186cf-d2f2-4f75-b2e3-9dc4fbd6e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C5:C41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3"/>
  <sheetViews>
    <sheetView tabSelected="1" topLeftCell="L1" workbookViewId="0">
      <selection activeCell="G7" sqref="G7"/>
    </sheetView>
  </sheetViews>
  <sheetFormatPr defaultColWidth="11" defaultRowHeight="17.6"/>
  <cols>
    <col min="1" max="1" width="36.0666666666667" customWidth="1"/>
    <col min="2" max="2" width="12.5333333333333" customWidth="1"/>
    <col min="3" max="3" width="14.1666666666667" customWidth="1"/>
    <col min="4" max="4" width="20.5333333333333" customWidth="1"/>
    <col min="5" max="5" width="8.16666666666667" style="11" customWidth="1"/>
    <col min="6" max="6" width="15.0666666666667" customWidth="1"/>
    <col min="7" max="7" width="17.2" customWidth="1"/>
    <col min="8" max="8" width="16.2666666666667" customWidth="1"/>
    <col min="9" max="17" width="17.2" customWidth="1"/>
    <col min="18" max="19" width="12.5" customWidth="1"/>
    <col min="20" max="20" width="12.3333333333333" customWidth="1"/>
    <col min="21" max="21" width="13.5" customWidth="1"/>
    <col min="22" max="22" width="12.5" customWidth="1"/>
    <col min="23" max="30" width="13.5" customWidth="1"/>
    <col min="31" max="31" width="12.5" customWidth="1"/>
    <col min="32" max="33" width="13" customWidth="1"/>
    <col min="34" max="34" width="11.8333333333333" customWidth="1"/>
  </cols>
  <sheetData>
    <row r="1" spans="1:6">
      <c r="A1" s="1" t="s">
        <v>0</v>
      </c>
      <c r="B1" s="12">
        <v>45870</v>
      </c>
      <c r="C1" s="13" t="s">
        <v>1</v>
      </c>
      <c r="D1" s="14">
        <v>10000000</v>
      </c>
      <c r="E1" s="37" t="s">
        <v>2</v>
      </c>
      <c r="F1" s="38"/>
    </row>
    <row r="2" ht="18.35" spans="1:6">
      <c r="A2" s="1" t="s">
        <v>3</v>
      </c>
      <c r="B2" s="12">
        <v>45901</v>
      </c>
      <c r="E2" s="39"/>
      <c r="F2" s="40"/>
    </row>
    <row r="3" s="6" customFormat="1" ht="41.75" spans="1:34">
      <c r="A3" s="15" t="s">
        <v>4</v>
      </c>
      <c r="B3" s="16" t="s">
        <v>5</v>
      </c>
      <c r="C3" s="17" t="s">
        <v>6</v>
      </c>
      <c r="D3" s="18" t="s">
        <v>7</v>
      </c>
      <c r="E3" s="41" t="s">
        <v>8</v>
      </c>
      <c r="F3" s="42" t="s">
        <v>9</v>
      </c>
      <c r="G3" s="43" t="s">
        <v>9</v>
      </c>
      <c r="H3" s="20" t="s">
        <v>9</v>
      </c>
      <c r="I3" s="20" t="s">
        <v>9</v>
      </c>
      <c r="J3" s="20" t="s">
        <v>9</v>
      </c>
      <c r="K3" s="20" t="s">
        <v>9</v>
      </c>
      <c r="L3" s="20" t="s">
        <v>9</v>
      </c>
      <c r="M3" s="43" t="s">
        <v>9</v>
      </c>
      <c r="N3" s="43" t="s">
        <v>9</v>
      </c>
      <c r="O3" s="43" t="s">
        <v>9</v>
      </c>
      <c r="P3" s="43" t="s">
        <v>9</v>
      </c>
      <c r="Q3" s="43" t="s">
        <v>9</v>
      </c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</row>
    <row r="4" s="6" customFormat="1" ht="21.75" spans="1:34">
      <c r="A4" s="19" t="s">
        <v>10</v>
      </c>
      <c r="B4" s="19"/>
      <c r="C4" s="20" t="s">
        <v>11</v>
      </c>
      <c r="D4" s="21"/>
      <c r="E4" s="44"/>
      <c r="F4" s="45">
        <v>45870</v>
      </c>
      <c r="G4" s="46">
        <v>45873</v>
      </c>
      <c r="H4" s="3">
        <v>45874</v>
      </c>
      <c r="I4" s="3">
        <v>45875</v>
      </c>
      <c r="J4" s="3">
        <v>45876</v>
      </c>
      <c r="K4" s="3">
        <v>45877</v>
      </c>
      <c r="L4" s="3">
        <v>45880</v>
      </c>
      <c r="M4" s="3">
        <v>45881</v>
      </c>
      <c r="N4" s="3">
        <v>45882</v>
      </c>
      <c r="O4" s="3">
        <v>45883</v>
      </c>
      <c r="P4" s="3">
        <v>45884</v>
      </c>
      <c r="Q4" s="3">
        <v>45887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3">
      <c r="A5" s="22" t="s">
        <v>142</v>
      </c>
      <c r="B5" s="1" t="s">
        <v>143</v>
      </c>
      <c r="C5" s="23">
        <v>0</v>
      </c>
      <c r="D5" s="24">
        <f>$D$1*C5</f>
        <v>0</v>
      </c>
      <c r="E5" s="47">
        <f t="shared" ref="E5:E45" si="0">ROUNDDOWN(D5/F5,0)</f>
        <v>0</v>
      </c>
      <c r="F5" s="48">
        <v>461.65</v>
      </c>
      <c r="G5" s="49">
        <v>462.3</v>
      </c>
      <c r="H5" s="49">
        <v>456.5</v>
      </c>
      <c r="I5" s="49">
        <v>457.7</v>
      </c>
      <c r="J5" s="49">
        <v>461.1</v>
      </c>
      <c r="K5" s="49">
        <v>461.35</v>
      </c>
      <c r="L5" s="49">
        <v>458</v>
      </c>
      <c r="M5" s="49">
        <v>457.15</v>
      </c>
      <c r="N5" s="73">
        <v>469.6</v>
      </c>
      <c r="O5" s="73">
        <v>472.9</v>
      </c>
      <c r="P5" s="73">
        <v>476.1</v>
      </c>
      <c r="Q5" s="73">
        <v>475.85</v>
      </c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</row>
    <row r="6" spans="1:33">
      <c r="A6" s="22" t="s">
        <v>144</v>
      </c>
      <c r="B6" s="1" t="s">
        <v>145</v>
      </c>
      <c r="C6" s="23">
        <v>0</v>
      </c>
      <c r="D6" s="24">
        <f t="shared" ref="D6:D44" si="1">$D$1*C6</f>
        <v>0</v>
      </c>
      <c r="E6" s="47">
        <f t="shared" si="0"/>
        <v>0</v>
      </c>
      <c r="F6" s="48">
        <v>213.9</v>
      </c>
      <c r="G6" s="49">
        <v>219.3</v>
      </c>
      <c r="H6" s="49">
        <v>214.8</v>
      </c>
      <c r="I6" s="49">
        <v>214.85</v>
      </c>
      <c r="J6" s="49">
        <v>220.3</v>
      </c>
      <c r="K6" s="49">
        <v>222</v>
      </c>
      <c r="L6" s="49">
        <v>218.65</v>
      </c>
      <c r="M6" s="49">
        <v>222.2</v>
      </c>
      <c r="N6" s="73">
        <v>218</v>
      </c>
      <c r="O6" s="73">
        <v>222</v>
      </c>
      <c r="P6" s="73">
        <v>220.6</v>
      </c>
      <c r="Q6" s="73">
        <v>218.5</v>
      </c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</row>
    <row r="7" spans="1:33">
      <c r="A7" s="22" t="s">
        <v>146</v>
      </c>
      <c r="B7" s="1" t="s">
        <v>147</v>
      </c>
      <c r="C7" s="23">
        <v>0</v>
      </c>
      <c r="D7" s="24">
        <f t="shared" si="1"/>
        <v>0</v>
      </c>
      <c r="E7" s="47">
        <f t="shared" si="0"/>
        <v>0</v>
      </c>
      <c r="F7" s="48">
        <v>51.07</v>
      </c>
      <c r="G7" s="49">
        <v>51.58</v>
      </c>
      <c r="H7" s="49">
        <v>51.9</v>
      </c>
      <c r="I7" s="49">
        <v>52.5</v>
      </c>
      <c r="J7" s="49">
        <v>52.38</v>
      </c>
      <c r="K7" s="49">
        <v>52.71</v>
      </c>
      <c r="L7" s="49">
        <v>52.52</v>
      </c>
      <c r="M7" s="49">
        <v>53.17</v>
      </c>
      <c r="N7" s="73">
        <v>52.51</v>
      </c>
      <c r="O7" s="73">
        <v>52.57</v>
      </c>
      <c r="P7" s="73">
        <v>53.47</v>
      </c>
      <c r="Q7" s="73">
        <v>53.02</v>
      </c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</row>
    <row r="8" spans="1:33">
      <c r="A8" s="22" t="s">
        <v>148</v>
      </c>
      <c r="B8" s="1" t="s">
        <v>149</v>
      </c>
      <c r="C8" s="23">
        <v>0</v>
      </c>
      <c r="D8" s="24">
        <f t="shared" si="1"/>
        <v>0</v>
      </c>
      <c r="E8" s="47">
        <f t="shared" si="0"/>
        <v>0</v>
      </c>
      <c r="F8" s="48">
        <v>80.34</v>
      </c>
      <c r="G8" s="49">
        <v>82</v>
      </c>
      <c r="H8" s="49">
        <v>82.03</v>
      </c>
      <c r="I8" s="49">
        <v>79.67</v>
      </c>
      <c r="J8" s="49">
        <v>80.84</v>
      </c>
      <c r="K8" s="49">
        <v>80.93</v>
      </c>
      <c r="L8" s="49">
        <v>81.34</v>
      </c>
      <c r="M8" s="49">
        <v>81.65</v>
      </c>
      <c r="N8" s="73">
        <v>83.18</v>
      </c>
      <c r="O8" s="73">
        <v>83.54</v>
      </c>
      <c r="P8" s="73">
        <v>84.95</v>
      </c>
      <c r="Q8" s="73">
        <v>85.58</v>
      </c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</row>
    <row r="9" spans="1:33">
      <c r="A9" s="22" t="s">
        <v>69</v>
      </c>
      <c r="B9" s="1" t="s">
        <v>150</v>
      </c>
      <c r="C9" s="23">
        <v>0</v>
      </c>
      <c r="D9" s="24">
        <f t="shared" si="1"/>
        <v>0</v>
      </c>
      <c r="E9" s="47">
        <f t="shared" si="0"/>
        <v>0</v>
      </c>
      <c r="F9" s="48">
        <v>169.1</v>
      </c>
      <c r="G9" s="49">
        <v>172.32</v>
      </c>
      <c r="H9" s="49">
        <v>175.2</v>
      </c>
      <c r="I9" s="49">
        <v>177.9</v>
      </c>
      <c r="J9" s="49">
        <v>177.4</v>
      </c>
      <c r="K9" s="49">
        <v>176.22</v>
      </c>
      <c r="L9" s="49">
        <v>175.8</v>
      </c>
      <c r="M9" s="49">
        <v>180.86</v>
      </c>
      <c r="N9" s="73">
        <v>179.56</v>
      </c>
      <c r="O9" s="73">
        <v>183.78</v>
      </c>
      <c r="P9" s="73">
        <v>186.88</v>
      </c>
      <c r="Q9" s="73">
        <v>184.22</v>
      </c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</row>
    <row r="10" spans="1:33">
      <c r="A10" s="22" t="s">
        <v>151</v>
      </c>
      <c r="B10" s="1" t="s">
        <v>152</v>
      </c>
      <c r="C10" s="23">
        <f>8.33333333333333%</f>
        <v>0.0833333333333333</v>
      </c>
      <c r="D10" s="24">
        <f t="shared" si="1"/>
        <v>833333.333333333</v>
      </c>
      <c r="E10" s="47">
        <f t="shared" si="0"/>
        <v>4895</v>
      </c>
      <c r="F10" s="48">
        <v>170.22</v>
      </c>
      <c r="G10" s="49">
        <v>172.24</v>
      </c>
      <c r="H10" s="49">
        <v>173</v>
      </c>
      <c r="I10" s="49">
        <v>171.76</v>
      </c>
      <c r="J10" s="49">
        <v>173.58</v>
      </c>
      <c r="K10" s="49">
        <v>173.78</v>
      </c>
      <c r="L10" s="49">
        <v>172.5</v>
      </c>
      <c r="M10" s="49">
        <v>173.68</v>
      </c>
      <c r="N10" s="73">
        <v>175.74</v>
      </c>
      <c r="O10" s="73">
        <v>178.62</v>
      </c>
      <c r="P10" s="73">
        <v>180.22</v>
      </c>
      <c r="Q10" s="73">
        <v>180</v>
      </c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</row>
    <row r="11" spans="1:33">
      <c r="A11" s="22" t="s">
        <v>153</v>
      </c>
      <c r="B11" s="1" t="s">
        <v>154</v>
      </c>
      <c r="C11" s="23">
        <v>0</v>
      </c>
      <c r="D11" s="24">
        <f t="shared" si="1"/>
        <v>0</v>
      </c>
      <c r="E11" s="47">
        <f t="shared" si="0"/>
        <v>0</v>
      </c>
      <c r="F11" s="48">
        <v>376.1</v>
      </c>
      <c r="G11" s="49">
        <v>379.85</v>
      </c>
      <c r="H11" s="49">
        <v>373.3</v>
      </c>
      <c r="I11" s="49">
        <v>374.65</v>
      </c>
      <c r="J11" s="49">
        <v>382.15</v>
      </c>
      <c r="K11" s="49">
        <v>384.35</v>
      </c>
      <c r="L11" s="49">
        <v>380.4</v>
      </c>
      <c r="M11" s="49">
        <v>379.35</v>
      </c>
      <c r="N11" s="73">
        <v>388.15</v>
      </c>
      <c r="O11" s="73">
        <v>388.75</v>
      </c>
      <c r="P11" s="73">
        <v>392.9</v>
      </c>
      <c r="Q11" s="73">
        <v>393.3</v>
      </c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</row>
    <row r="12" spans="1:33">
      <c r="A12" s="22" t="s">
        <v>155</v>
      </c>
      <c r="B12" s="1" t="s">
        <v>156</v>
      </c>
      <c r="C12" s="23">
        <v>0</v>
      </c>
      <c r="D12" s="24">
        <f t="shared" si="1"/>
        <v>0</v>
      </c>
      <c r="E12" s="47">
        <f t="shared" si="0"/>
        <v>0</v>
      </c>
      <c r="F12" s="48">
        <v>280.3</v>
      </c>
      <c r="G12" s="49">
        <v>287.7</v>
      </c>
      <c r="H12" s="49">
        <v>287.5</v>
      </c>
      <c r="I12" s="49">
        <v>290.1</v>
      </c>
      <c r="J12" s="49">
        <v>291.2</v>
      </c>
      <c r="K12" s="49">
        <v>291.2</v>
      </c>
      <c r="L12" s="49">
        <v>287.2</v>
      </c>
      <c r="M12" s="49">
        <v>290.6</v>
      </c>
      <c r="N12" s="73">
        <v>289.4</v>
      </c>
      <c r="O12" s="73">
        <v>293.6</v>
      </c>
      <c r="P12" s="73">
        <v>291.8</v>
      </c>
      <c r="Q12" s="73">
        <v>293</v>
      </c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</row>
    <row r="13" spans="1:33">
      <c r="A13" s="22" t="s">
        <v>157</v>
      </c>
      <c r="B13" s="1" t="s">
        <v>158</v>
      </c>
      <c r="C13" s="23">
        <f>8.33333333333333%</f>
        <v>0.0833333333333333</v>
      </c>
      <c r="D13" s="24">
        <f t="shared" si="1"/>
        <v>833333.333333333</v>
      </c>
      <c r="E13" s="47">
        <f t="shared" si="0"/>
        <v>3264</v>
      </c>
      <c r="F13" s="48">
        <v>255.3</v>
      </c>
      <c r="G13" s="49">
        <v>256.2</v>
      </c>
      <c r="H13" s="49">
        <v>252.9</v>
      </c>
      <c r="I13" s="49">
        <v>249.3</v>
      </c>
      <c r="J13" s="49">
        <v>252.2</v>
      </c>
      <c r="K13" s="49">
        <v>252.9</v>
      </c>
      <c r="L13" s="49">
        <v>251.7</v>
      </c>
      <c r="M13" s="49">
        <v>253.8</v>
      </c>
      <c r="N13" s="73">
        <v>261.9</v>
      </c>
      <c r="O13" s="73">
        <v>263.1</v>
      </c>
      <c r="P13" s="73">
        <v>267.5</v>
      </c>
      <c r="Q13" s="73">
        <v>267.8</v>
      </c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</row>
    <row r="14" spans="1:33">
      <c r="A14" s="22" t="s">
        <v>159</v>
      </c>
      <c r="B14" s="1" t="s">
        <v>160</v>
      </c>
      <c r="C14" s="23">
        <v>0</v>
      </c>
      <c r="D14" s="24">
        <f t="shared" si="1"/>
        <v>0</v>
      </c>
      <c r="E14" s="47">
        <f t="shared" si="0"/>
        <v>0</v>
      </c>
      <c r="F14" s="48">
        <v>2078</v>
      </c>
      <c r="G14" s="49">
        <v>2097</v>
      </c>
      <c r="H14" s="49">
        <v>2095</v>
      </c>
      <c r="I14" s="49">
        <v>2113</v>
      </c>
      <c r="J14" s="49">
        <v>2122</v>
      </c>
      <c r="K14" s="49">
        <v>2114</v>
      </c>
      <c r="L14" s="49">
        <v>2037</v>
      </c>
      <c r="M14" s="49">
        <v>2046</v>
      </c>
      <c r="N14" s="73">
        <v>2075</v>
      </c>
      <c r="O14" s="73">
        <v>2079</v>
      </c>
      <c r="P14" s="73">
        <v>2065</v>
      </c>
      <c r="Q14" s="73">
        <v>2073</v>
      </c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</row>
    <row r="15" spans="1:33">
      <c r="A15" s="22" t="s">
        <v>161</v>
      </c>
      <c r="B15" s="1" t="s">
        <v>162</v>
      </c>
      <c r="C15" s="23">
        <v>0</v>
      </c>
      <c r="D15" s="24">
        <f t="shared" si="1"/>
        <v>0</v>
      </c>
      <c r="E15" s="47">
        <f t="shared" si="0"/>
        <v>0</v>
      </c>
      <c r="F15" s="48">
        <v>39.33</v>
      </c>
      <c r="G15" s="49">
        <v>39.98</v>
      </c>
      <c r="H15" s="49">
        <v>40.6</v>
      </c>
      <c r="I15" s="49">
        <v>40.76</v>
      </c>
      <c r="J15" s="49">
        <v>41.57</v>
      </c>
      <c r="K15" s="49">
        <v>41.39</v>
      </c>
      <c r="L15" s="49">
        <v>41.62</v>
      </c>
      <c r="M15" s="49">
        <v>42.12</v>
      </c>
      <c r="N15" s="73">
        <v>42.67</v>
      </c>
      <c r="O15" s="73">
        <v>42.89</v>
      </c>
      <c r="P15" s="73">
        <v>43.4</v>
      </c>
      <c r="Q15" s="73">
        <v>42.78</v>
      </c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</row>
    <row r="16" spans="1:33">
      <c r="A16" s="22" t="s">
        <v>163</v>
      </c>
      <c r="B16" s="1" t="s">
        <v>164</v>
      </c>
      <c r="C16" s="23">
        <v>0</v>
      </c>
      <c r="D16" s="24">
        <f t="shared" si="1"/>
        <v>0</v>
      </c>
      <c r="E16" s="47">
        <f t="shared" si="0"/>
        <v>0</v>
      </c>
      <c r="F16" s="48">
        <v>76.53</v>
      </c>
      <c r="G16" s="49">
        <v>78.5</v>
      </c>
      <c r="H16" s="49">
        <v>78.38</v>
      </c>
      <c r="I16" s="49">
        <v>79.3</v>
      </c>
      <c r="J16" s="49">
        <v>79.5</v>
      </c>
      <c r="K16" s="49">
        <v>81.5</v>
      </c>
      <c r="L16" s="49">
        <v>81.55</v>
      </c>
      <c r="M16" s="49">
        <v>81.75</v>
      </c>
      <c r="N16" s="73">
        <v>82.94</v>
      </c>
      <c r="O16" s="73">
        <v>83.94</v>
      </c>
      <c r="P16" s="73">
        <v>83.7</v>
      </c>
      <c r="Q16" s="73">
        <v>82.29</v>
      </c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</row>
    <row r="17" spans="1:33">
      <c r="A17" s="22" t="s">
        <v>165</v>
      </c>
      <c r="B17" s="1" t="s">
        <v>166</v>
      </c>
      <c r="C17" s="23">
        <f>8.33333333333333%</f>
        <v>0.0833333333333333</v>
      </c>
      <c r="D17" s="24">
        <f t="shared" si="1"/>
        <v>833333.333333333</v>
      </c>
      <c r="E17" s="47">
        <f t="shared" si="0"/>
        <v>7017</v>
      </c>
      <c r="F17" s="48">
        <v>118.75</v>
      </c>
      <c r="G17" s="49">
        <v>119.95</v>
      </c>
      <c r="H17" s="49">
        <v>120.6</v>
      </c>
      <c r="I17" s="49">
        <v>121.4</v>
      </c>
      <c r="J17" s="49">
        <v>122.8</v>
      </c>
      <c r="K17" s="49">
        <v>123.65</v>
      </c>
      <c r="L17" s="49">
        <v>124.9</v>
      </c>
      <c r="M17" s="49">
        <v>125</v>
      </c>
      <c r="N17" s="73">
        <v>126.6</v>
      </c>
      <c r="O17" s="73">
        <v>127.9</v>
      </c>
      <c r="P17" s="73">
        <v>129.6</v>
      </c>
      <c r="Q17" s="73">
        <v>128</v>
      </c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</row>
    <row r="18" spans="1:33">
      <c r="A18" s="22" t="s">
        <v>167</v>
      </c>
      <c r="B18" s="1" t="s">
        <v>168</v>
      </c>
      <c r="C18" s="23">
        <v>0</v>
      </c>
      <c r="D18" s="24">
        <f t="shared" si="1"/>
        <v>0</v>
      </c>
      <c r="E18" s="47">
        <f t="shared" si="0"/>
        <v>0</v>
      </c>
      <c r="F18" s="48">
        <v>72.5</v>
      </c>
      <c r="G18" s="49">
        <v>73.04</v>
      </c>
      <c r="H18" s="49">
        <v>72.32</v>
      </c>
      <c r="I18" s="49">
        <v>71.78</v>
      </c>
      <c r="J18" s="49">
        <v>71.36</v>
      </c>
      <c r="K18" s="49">
        <v>71.9</v>
      </c>
      <c r="L18" s="49">
        <v>70.86</v>
      </c>
      <c r="M18" s="49">
        <v>70.78</v>
      </c>
      <c r="N18" s="73">
        <v>71.52</v>
      </c>
      <c r="O18" s="73">
        <v>71.7</v>
      </c>
      <c r="P18" s="73">
        <v>72.06</v>
      </c>
      <c r="Q18" s="73">
        <v>71.7</v>
      </c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</row>
    <row r="19" spans="1:33">
      <c r="A19" s="22" t="s">
        <v>169</v>
      </c>
      <c r="B19" s="1" t="s">
        <v>170</v>
      </c>
      <c r="C19" s="23">
        <v>0</v>
      </c>
      <c r="D19" s="24">
        <f t="shared" si="1"/>
        <v>0</v>
      </c>
      <c r="E19" s="47">
        <f t="shared" si="0"/>
        <v>0</v>
      </c>
      <c r="F19" s="48">
        <v>90.98</v>
      </c>
      <c r="G19" s="49">
        <v>92</v>
      </c>
      <c r="H19" s="49">
        <v>92.8</v>
      </c>
      <c r="I19" s="49">
        <v>93.5</v>
      </c>
      <c r="J19" s="49">
        <v>96.56</v>
      </c>
      <c r="K19" s="49">
        <v>97.92</v>
      </c>
      <c r="L19" s="49">
        <v>96.8</v>
      </c>
      <c r="M19" s="49">
        <v>98.4</v>
      </c>
      <c r="N19" s="73">
        <v>98.2</v>
      </c>
      <c r="O19" s="73">
        <v>99.12</v>
      </c>
      <c r="P19" s="73">
        <v>99</v>
      </c>
      <c r="Q19" s="73">
        <v>97.7</v>
      </c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</row>
    <row r="20" spans="1:33">
      <c r="A20" s="22" t="s">
        <v>171</v>
      </c>
      <c r="B20" s="1" t="s">
        <v>172</v>
      </c>
      <c r="C20" s="23">
        <v>0</v>
      </c>
      <c r="D20" s="24">
        <f t="shared" si="1"/>
        <v>0</v>
      </c>
      <c r="E20" s="47">
        <f t="shared" si="0"/>
        <v>0</v>
      </c>
      <c r="F20" s="48">
        <v>19.14</v>
      </c>
      <c r="G20" s="49">
        <v>19.055</v>
      </c>
      <c r="H20" s="49">
        <v>19.045</v>
      </c>
      <c r="I20" s="49">
        <v>19.175</v>
      </c>
      <c r="J20" s="49">
        <v>18.835</v>
      </c>
      <c r="K20" s="49">
        <v>18.65</v>
      </c>
      <c r="L20" s="49">
        <v>18.795</v>
      </c>
      <c r="M20" s="49">
        <v>18.665</v>
      </c>
      <c r="N20" s="73">
        <v>18.7</v>
      </c>
      <c r="O20" s="73">
        <v>18.645</v>
      </c>
      <c r="P20" s="73">
        <v>18.91</v>
      </c>
      <c r="Q20" s="73">
        <v>18.62</v>
      </c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</row>
    <row r="21" spans="1:33">
      <c r="A21" s="22" t="s">
        <v>173</v>
      </c>
      <c r="B21" s="1" t="s">
        <v>174</v>
      </c>
      <c r="C21" s="23">
        <v>0</v>
      </c>
      <c r="D21" s="24">
        <f t="shared" si="1"/>
        <v>0</v>
      </c>
      <c r="E21" s="47">
        <f t="shared" si="0"/>
        <v>0</v>
      </c>
      <c r="F21" s="48">
        <v>7.589</v>
      </c>
      <c r="G21" s="49">
        <v>7.567</v>
      </c>
      <c r="H21" s="49">
        <v>7.584</v>
      </c>
      <c r="I21" s="49">
        <v>7.633</v>
      </c>
      <c r="J21" s="49">
        <v>7.896</v>
      </c>
      <c r="K21" s="49">
        <v>8.086</v>
      </c>
      <c r="L21" s="49">
        <v>8.02</v>
      </c>
      <c r="M21" s="49">
        <v>8.274</v>
      </c>
      <c r="N21" s="73">
        <v>8.276</v>
      </c>
      <c r="O21" s="73">
        <v>8.324</v>
      </c>
      <c r="P21" s="73"/>
      <c r="Q21" s="73">
        <v>8.316</v>
      </c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</row>
    <row r="22" spans="1:33">
      <c r="A22" s="22" t="s">
        <v>175</v>
      </c>
      <c r="B22" s="1" t="s">
        <v>176</v>
      </c>
      <c r="C22" s="23">
        <f>8.33333333333333%</f>
        <v>0.0833333333333333</v>
      </c>
      <c r="D22" s="24">
        <f t="shared" si="1"/>
        <v>833333.333333333</v>
      </c>
      <c r="E22" s="47">
        <f t="shared" si="0"/>
        <v>6475</v>
      </c>
      <c r="F22" s="48">
        <v>128.7</v>
      </c>
      <c r="G22" s="49">
        <v>130.15</v>
      </c>
      <c r="H22" s="49">
        <v>128.8</v>
      </c>
      <c r="I22" s="49">
        <v>129</v>
      </c>
      <c r="J22" s="49">
        <v>130.15</v>
      </c>
      <c r="K22" s="49">
        <v>129.75</v>
      </c>
      <c r="L22" s="49">
        <v>129.35</v>
      </c>
      <c r="M22" s="49">
        <v>131.4</v>
      </c>
      <c r="N22" s="73">
        <v>130.5</v>
      </c>
      <c r="O22" s="73">
        <v>132</v>
      </c>
      <c r="P22" s="73">
        <v>132.9</v>
      </c>
      <c r="Q22" s="73">
        <v>133.5</v>
      </c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</row>
    <row r="23" spans="1:33">
      <c r="A23" s="22" t="s">
        <v>177</v>
      </c>
      <c r="B23" s="1" t="s">
        <v>178</v>
      </c>
      <c r="C23" s="23">
        <v>0</v>
      </c>
      <c r="D23" s="24">
        <f t="shared" si="1"/>
        <v>0</v>
      </c>
      <c r="E23" s="47">
        <f t="shared" si="0"/>
        <v>0</v>
      </c>
      <c r="F23" s="48">
        <v>124.45</v>
      </c>
      <c r="G23" s="49">
        <v>123.9</v>
      </c>
      <c r="H23" s="49">
        <v>124.3</v>
      </c>
      <c r="I23" s="49">
        <v>121.5</v>
      </c>
      <c r="J23" s="49">
        <v>123.8</v>
      </c>
      <c r="K23" s="49">
        <v>125.6</v>
      </c>
      <c r="L23" s="49">
        <v>123.35</v>
      </c>
      <c r="M23" s="49">
        <v>121.3</v>
      </c>
      <c r="N23" s="73">
        <v>123.45</v>
      </c>
      <c r="O23" s="73">
        <v>121.95</v>
      </c>
      <c r="P23" s="73">
        <v>123.05</v>
      </c>
      <c r="Q23" s="73">
        <v>122.5</v>
      </c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</row>
    <row r="24" spans="1:33">
      <c r="A24" s="22" t="s">
        <v>179</v>
      </c>
      <c r="B24" s="1" t="s">
        <v>180</v>
      </c>
      <c r="C24" s="23">
        <f>8.33333333333333%</f>
        <v>0.0833333333333333</v>
      </c>
      <c r="D24" s="24">
        <f t="shared" si="1"/>
        <v>833333.333333333</v>
      </c>
      <c r="E24" s="47">
        <f t="shared" si="0"/>
        <v>10461</v>
      </c>
      <c r="F24" s="48">
        <v>79.66</v>
      </c>
      <c r="G24" s="49">
        <v>78.82</v>
      </c>
      <c r="H24" s="49">
        <v>78.78</v>
      </c>
      <c r="I24" s="49">
        <v>78</v>
      </c>
      <c r="J24" s="49">
        <v>78.64</v>
      </c>
      <c r="K24" s="49">
        <v>78.1</v>
      </c>
      <c r="L24" s="49">
        <v>77.6</v>
      </c>
      <c r="M24" s="49">
        <v>75.14</v>
      </c>
      <c r="N24" s="73">
        <v>77.08</v>
      </c>
      <c r="O24" s="73">
        <v>77.72</v>
      </c>
      <c r="P24" s="73">
        <v>76.98</v>
      </c>
      <c r="Q24" s="73">
        <v>77.14</v>
      </c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</row>
    <row r="25" spans="1:33">
      <c r="A25" s="22" t="s">
        <v>181</v>
      </c>
      <c r="B25" s="1" t="s">
        <v>182</v>
      </c>
      <c r="C25" s="23">
        <v>0</v>
      </c>
      <c r="D25" s="24">
        <f t="shared" si="1"/>
        <v>0</v>
      </c>
      <c r="E25" s="47">
        <f t="shared" si="0"/>
        <v>0</v>
      </c>
      <c r="F25" s="48">
        <v>30.97</v>
      </c>
      <c r="G25" s="49">
        <v>30.86</v>
      </c>
      <c r="H25" s="49">
        <v>30.9</v>
      </c>
      <c r="I25" s="49">
        <v>30.71</v>
      </c>
      <c r="J25" s="49">
        <v>31.29</v>
      </c>
      <c r="K25" s="49">
        <v>31.43</v>
      </c>
      <c r="L25" s="49">
        <v>31.34</v>
      </c>
      <c r="M25" s="49">
        <v>31.66</v>
      </c>
      <c r="N25" s="73">
        <v>31.91</v>
      </c>
      <c r="O25" s="73">
        <v>31.9</v>
      </c>
      <c r="P25" s="73">
        <v>32.23</v>
      </c>
      <c r="Q25" s="73">
        <v>32.12</v>
      </c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</row>
    <row r="26" spans="1:33">
      <c r="A26" s="22" t="s">
        <v>183</v>
      </c>
      <c r="B26" s="1" t="s">
        <v>184</v>
      </c>
      <c r="C26" s="23">
        <f>8.33333333333333%</f>
        <v>0.0833333333333333</v>
      </c>
      <c r="D26" s="24">
        <f t="shared" si="1"/>
        <v>833333.333333333</v>
      </c>
      <c r="E26" s="47">
        <f t="shared" si="0"/>
        <v>29825</v>
      </c>
      <c r="F26" s="48">
        <v>27.94</v>
      </c>
      <c r="G26" s="49">
        <v>27.94</v>
      </c>
      <c r="H26" s="49">
        <v>27.75</v>
      </c>
      <c r="I26" s="49">
        <v>27.52</v>
      </c>
      <c r="J26" s="49">
        <v>27.58</v>
      </c>
      <c r="K26" s="49">
        <v>27.51</v>
      </c>
      <c r="L26" s="49">
        <v>27.17</v>
      </c>
      <c r="M26" s="49">
        <v>26.51</v>
      </c>
      <c r="N26" s="73">
        <v>26.77</v>
      </c>
      <c r="O26" s="73">
        <v>26.64</v>
      </c>
      <c r="P26" s="73">
        <v>26.89</v>
      </c>
      <c r="Q26" s="73">
        <v>26.72</v>
      </c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</row>
    <row r="27" spans="1:33">
      <c r="A27" s="22" t="s">
        <v>185</v>
      </c>
      <c r="B27" s="1" t="s">
        <v>186</v>
      </c>
      <c r="C27" s="23">
        <v>0</v>
      </c>
      <c r="D27" s="24">
        <f t="shared" si="1"/>
        <v>0</v>
      </c>
      <c r="E27" s="47">
        <f t="shared" si="0"/>
        <v>0</v>
      </c>
      <c r="F27" s="48">
        <v>89.56</v>
      </c>
      <c r="G27" s="49">
        <v>89.9</v>
      </c>
      <c r="H27" s="49">
        <v>90.9</v>
      </c>
      <c r="I27" s="49">
        <v>93.1</v>
      </c>
      <c r="J27" s="49">
        <v>95.28</v>
      </c>
      <c r="K27" s="49">
        <v>95.76</v>
      </c>
      <c r="L27" s="49">
        <v>96.16</v>
      </c>
      <c r="M27" s="49">
        <v>96.12</v>
      </c>
      <c r="N27" s="73">
        <v>96.76</v>
      </c>
      <c r="O27" s="73">
        <v>96.62</v>
      </c>
      <c r="P27" s="73">
        <v>98.3</v>
      </c>
      <c r="Q27" s="73">
        <v>97.62</v>
      </c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</row>
    <row r="28" spans="1:33">
      <c r="A28" s="22" t="s">
        <v>187</v>
      </c>
      <c r="B28" s="1" t="s">
        <v>188</v>
      </c>
      <c r="C28" s="23">
        <f>8.33333333333333%</f>
        <v>0.0833333333333333</v>
      </c>
      <c r="D28" s="24">
        <f t="shared" si="1"/>
        <v>833333.333333333</v>
      </c>
      <c r="E28" s="47">
        <f t="shared" si="0"/>
        <v>15437</v>
      </c>
      <c r="F28" s="48">
        <v>53.98</v>
      </c>
      <c r="G28" s="49">
        <v>54.8</v>
      </c>
      <c r="H28" s="49">
        <v>55</v>
      </c>
      <c r="I28" s="49">
        <v>55.58</v>
      </c>
      <c r="J28" s="49">
        <v>56.64</v>
      </c>
      <c r="K28" s="49">
        <v>57.56</v>
      </c>
      <c r="L28" s="49">
        <v>57.58</v>
      </c>
      <c r="M28" s="49">
        <v>58.36</v>
      </c>
      <c r="N28" s="73">
        <v>57.72</v>
      </c>
      <c r="O28" s="73">
        <v>58.5</v>
      </c>
      <c r="P28" s="73">
        <v>58.78</v>
      </c>
      <c r="Q28" s="73">
        <v>57.76</v>
      </c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</row>
    <row r="29" spans="1:33">
      <c r="A29" s="22" t="s">
        <v>189</v>
      </c>
      <c r="B29" s="1" t="s">
        <v>190</v>
      </c>
      <c r="C29" s="23">
        <v>0</v>
      </c>
      <c r="D29" s="24">
        <f t="shared" si="1"/>
        <v>0</v>
      </c>
      <c r="E29" s="47">
        <f t="shared" si="0"/>
        <v>0</v>
      </c>
      <c r="F29" s="48">
        <v>29.29</v>
      </c>
      <c r="G29" s="49">
        <v>29.55</v>
      </c>
      <c r="H29" s="49">
        <v>29.54</v>
      </c>
      <c r="I29" s="49">
        <v>29.66</v>
      </c>
      <c r="J29" s="49">
        <v>30.06</v>
      </c>
      <c r="K29" s="49">
        <v>29.95</v>
      </c>
      <c r="L29" s="49">
        <v>29.91</v>
      </c>
      <c r="M29" s="49">
        <v>29.83</v>
      </c>
      <c r="N29" s="73">
        <v>29.88</v>
      </c>
      <c r="O29" s="73">
        <v>30.55</v>
      </c>
      <c r="P29" s="73">
        <v>30.85</v>
      </c>
      <c r="Q29" s="73">
        <v>30.16</v>
      </c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</row>
    <row r="30" spans="1:33">
      <c r="A30" s="22" t="s">
        <v>191</v>
      </c>
      <c r="B30" s="1" t="s">
        <v>192</v>
      </c>
      <c r="C30" s="23">
        <f>8.33333333333333%</f>
        <v>0.0833333333333333</v>
      </c>
      <c r="D30" s="24">
        <f t="shared" si="1"/>
        <v>833333.333333333</v>
      </c>
      <c r="E30" s="47">
        <f t="shared" si="0"/>
        <v>60277</v>
      </c>
      <c r="F30" s="48">
        <v>13.825</v>
      </c>
      <c r="G30" s="49">
        <v>13.735</v>
      </c>
      <c r="H30" s="49">
        <v>13.775</v>
      </c>
      <c r="I30" s="49">
        <v>13.89</v>
      </c>
      <c r="J30" s="49">
        <v>13.81</v>
      </c>
      <c r="K30" s="49">
        <v>13.93</v>
      </c>
      <c r="L30" s="49">
        <v>14.15</v>
      </c>
      <c r="M30" s="49">
        <v>14.1</v>
      </c>
      <c r="N30" s="73">
        <v>14.3</v>
      </c>
      <c r="O30" s="73">
        <v>14.41</v>
      </c>
      <c r="P30" s="73">
        <v>14.44</v>
      </c>
      <c r="Q30" s="73">
        <v>14.485</v>
      </c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</row>
    <row r="31" spans="1:33">
      <c r="A31" s="22" t="s">
        <v>193</v>
      </c>
      <c r="B31" s="1" t="s">
        <v>194</v>
      </c>
      <c r="C31" s="23">
        <v>0</v>
      </c>
      <c r="D31" s="24">
        <f t="shared" si="1"/>
        <v>0</v>
      </c>
      <c r="E31" s="47">
        <f t="shared" si="0"/>
        <v>0</v>
      </c>
      <c r="F31" s="48">
        <v>216.15</v>
      </c>
      <c r="G31" s="49">
        <v>215.05</v>
      </c>
      <c r="H31" s="49">
        <v>211.4</v>
      </c>
      <c r="I31" s="49">
        <v>209.25</v>
      </c>
      <c r="J31" s="49">
        <v>213.1</v>
      </c>
      <c r="K31" s="49">
        <v>215.65</v>
      </c>
      <c r="L31" s="49">
        <v>213.1</v>
      </c>
      <c r="M31" s="49">
        <v>213.35</v>
      </c>
      <c r="N31" s="73">
        <v>217.35</v>
      </c>
      <c r="O31" s="73">
        <v>211.75</v>
      </c>
      <c r="P31" s="73">
        <v>211.65</v>
      </c>
      <c r="Q31" s="73">
        <v>210.25</v>
      </c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</row>
    <row r="32" spans="1:33">
      <c r="A32" s="22" t="s">
        <v>195</v>
      </c>
      <c r="B32" s="1" t="s">
        <v>196</v>
      </c>
      <c r="C32" s="23">
        <f>8.33333333333333%</f>
        <v>0.0833333333333333</v>
      </c>
      <c r="D32" s="24">
        <f t="shared" si="1"/>
        <v>833333.333333333</v>
      </c>
      <c r="E32" s="47">
        <f t="shared" si="0"/>
        <v>38411</v>
      </c>
      <c r="F32" s="48">
        <v>21.695</v>
      </c>
      <c r="G32" s="49">
        <v>21.765</v>
      </c>
      <c r="H32" s="49">
        <v>21.605</v>
      </c>
      <c r="I32" s="49">
        <v>21.3</v>
      </c>
      <c r="J32" s="49">
        <v>21.36</v>
      </c>
      <c r="K32" s="49">
        <v>21.765</v>
      </c>
      <c r="L32" s="49">
        <v>21.515</v>
      </c>
      <c r="M32" s="49">
        <v>22.415</v>
      </c>
      <c r="N32" s="73">
        <v>22.19</v>
      </c>
      <c r="O32" s="73">
        <v>22.11</v>
      </c>
      <c r="P32" s="73">
        <v>22.035</v>
      </c>
      <c r="Q32" s="73">
        <v>22.225</v>
      </c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</row>
    <row r="33" spans="1:33">
      <c r="A33" s="22" t="s">
        <v>197</v>
      </c>
      <c r="B33" s="1" t="s">
        <v>198</v>
      </c>
      <c r="C33" s="23">
        <v>0</v>
      </c>
      <c r="D33" s="24">
        <f t="shared" si="1"/>
        <v>0</v>
      </c>
      <c r="E33" s="47">
        <f t="shared" si="0"/>
        <v>0</v>
      </c>
      <c r="F33" s="48">
        <v>235.5</v>
      </c>
      <c r="G33" s="49">
        <v>236.5</v>
      </c>
      <c r="H33" s="49">
        <v>236.9</v>
      </c>
      <c r="I33" s="49">
        <v>238.5</v>
      </c>
      <c r="J33" s="49">
        <v>231.2</v>
      </c>
      <c r="K33" s="49">
        <v>229</v>
      </c>
      <c r="L33" s="49">
        <v>228.3</v>
      </c>
      <c r="M33" s="49">
        <v>230.8</v>
      </c>
      <c r="N33" s="73">
        <v>231.6</v>
      </c>
      <c r="O33" s="73">
        <v>237.5</v>
      </c>
      <c r="P33" s="73">
        <v>235.4</v>
      </c>
      <c r="Q33" s="73">
        <v>238.6</v>
      </c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</row>
    <row r="34" spans="1:33">
      <c r="A34" s="22" t="s">
        <v>199</v>
      </c>
      <c r="B34" s="1" t="s">
        <v>200</v>
      </c>
      <c r="C34" s="23">
        <f>8.33333333333333%</f>
        <v>0.0833333333333333</v>
      </c>
      <c r="D34" s="24">
        <f t="shared" si="1"/>
        <v>833333.333333333</v>
      </c>
      <c r="E34" s="47">
        <f t="shared" si="0"/>
        <v>52345</v>
      </c>
      <c r="F34" s="48">
        <v>15.92</v>
      </c>
      <c r="G34" s="49">
        <v>16.055</v>
      </c>
      <c r="H34" s="49">
        <v>16.08</v>
      </c>
      <c r="I34" s="49">
        <v>16.28</v>
      </c>
      <c r="J34" s="49">
        <v>16.395</v>
      </c>
      <c r="K34" s="49">
        <v>16.92</v>
      </c>
      <c r="L34" s="49">
        <v>17.045</v>
      </c>
      <c r="M34" s="49">
        <v>17</v>
      </c>
      <c r="N34" s="73">
        <v>17.03</v>
      </c>
      <c r="O34" s="73">
        <v>17.135</v>
      </c>
      <c r="P34" s="73">
        <v>17.11</v>
      </c>
      <c r="Q34" s="73">
        <v>16.79</v>
      </c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</row>
    <row r="35" spans="1:33">
      <c r="A35" s="22" t="s">
        <v>201</v>
      </c>
      <c r="B35" s="1" t="s">
        <v>202</v>
      </c>
      <c r="C35" s="23">
        <v>0</v>
      </c>
      <c r="D35" s="24">
        <f t="shared" si="1"/>
        <v>0</v>
      </c>
      <c r="E35" s="47">
        <f t="shared" si="0"/>
        <v>0</v>
      </c>
      <c r="F35" s="48">
        <v>26.44</v>
      </c>
      <c r="G35" s="49">
        <v>26.68</v>
      </c>
      <c r="H35" s="49">
        <v>26.84</v>
      </c>
      <c r="I35" s="49">
        <v>26.62</v>
      </c>
      <c r="J35" s="49">
        <v>26.94</v>
      </c>
      <c r="K35" s="49">
        <v>26.66</v>
      </c>
      <c r="L35" s="49">
        <v>26.56</v>
      </c>
      <c r="M35" s="49">
        <v>26.64</v>
      </c>
      <c r="N35" s="73">
        <v>26.76</v>
      </c>
      <c r="O35" s="73">
        <v>26.84</v>
      </c>
      <c r="P35" s="73">
        <v>26.82</v>
      </c>
      <c r="Q35" s="73">
        <v>26.68</v>
      </c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</row>
    <row r="36" spans="1:33">
      <c r="A36" s="22" t="s">
        <v>203</v>
      </c>
      <c r="B36" s="1" t="s">
        <v>204</v>
      </c>
      <c r="C36" s="23">
        <v>0</v>
      </c>
      <c r="D36" s="24">
        <f t="shared" si="1"/>
        <v>0</v>
      </c>
      <c r="E36" s="47">
        <f t="shared" si="0"/>
        <v>0</v>
      </c>
      <c r="F36" s="48">
        <v>42.28</v>
      </c>
      <c r="G36" s="49">
        <v>42.57</v>
      </c>
      <c r="H36" s="49">
        <v>41.92</v>
      </c>
      <c r="I36" s="49">
        <v>42.71</v>
      </c>
      <c r="J36" s="49">
        <v>45</v>
      </c>
      <c r="K36" s="49">
        <v>45.34</v>
      </c>
      <c r="L36" s="49">
        <v>44</v>
      </c>
      <c r="M36" s="49">
        <v>44.27</v>
      </c>
      <c r="N36" s="73">
        <v>44.29</v>
      </c>
      <c r="O36" s="73">
        <v>44.42</v>
      </c>
      <c r="P36" s="73">
        <v>44.69</v>
      </c>
      <c r="Q36" s="73">
        <v>44.8</v>
      </c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</row>
    <row r="37" spans="1:33">
      <c r="A37" s="22" t="s">
        <v>205</v>
      </c>
      <c r="B37" s="1" t="s">
        <v>206</v>
      </c>
      <c r="C37" s="23">
        <v>0</v>
      </c>
      <c r="D37" s="24">
        <f t="shared" si="1"/>
        <v>0</v>
      </c>
      <c r="E37" s="47">
        <f t="shared" si="0"/>
        <v>0</v>
      </c>
      <c r="F37" s="48">
        <v>32.19</v>
      </c>
      <c r="G37" s="49">
        <v>31.4</v>
      </c>
      <c r="H37" s="49">
        <v>31.23</v>
      </c>
      <c r="I37" s="49">
        <v>31.14</v>
      </c>
      <c r="J37" s="49">
        <v>31.75</v>
      </c>
      <c r="K37" s="49">
        <v>32.43</v>
      </c>
      <c r="L37" s="49">
        <v>32.37</v>
      </c>
      <c r="M37" s="49">
        <v>32.46</v>
      </c>
      <c r="N37" s="73">
        <v>32.76</v>
      </c>
      <c r="O37" s="73">
        <v>32.63</v>
      </c>
      <c r="P37" s="73">
        <v>33.11</v>
      </c>
      <c r="Q37" s="73">
        <v>32.65</v>
      </c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</row>
    <row r="38" spans="1:33">
      <c r="A38" s="22" t="s">
        <v>207</v>
      </c>
      <c r="B38" s="1" t="s">
        <v>208</v>
      </c>
      <c r="C38" s="23">
        <v>0</v>
      </c>
      <c r="D38" s="24">
        <f t="shared" si="1"/>
        <v>0</v>
      </c>
      <c r="E38" s="47">
        <f t="shared" si="0"/>
        <v>0</v>
      </c>
      <c r="F38" s="48">
        <v>26.76</v>
      </c>
      <c r="G38" s="49">
        <v>26.48</v>
      </c>
      <c r="H38" s="49">
        <v>26.64</v>
      </c>
      <c r="I38" s="49">
        <v>26.78</v>
      </c>
      <c r="J38" s="49">
        <v>27.94</v>
      </c>
      <c r="K38" s="49">
        <v>28.82</v>
      </c>
      <c r="L38" s="49">
        <v>28.43</v>
      </c>
      <c r="M38" s="49">
        <v>28.64</v>
      </c>
      <c r="N38" s="73">
        <v>28.59</v>
      </c>
      <c r="O38" s="73">
        <v>28.98</v>
      </c>
      <c r="P38" s="73">
        <v>29.1</v>
      </c>
      <c r="Q38" s="73">
        <v>29.16</v>
      </c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</row>
    <row r="39" spans="1:33">
      <c r="A39" s="22" t="s">
        <v>209</v>
      </c>
      <c r="B39" s="1" t="s">
        <v>210</v>
      </c>
      <c r="C39" s="23">
        <v>0</v>
      </c>
      <c r="D39" s="24">
        <f t="shared" si="1"/>
        <v>0</v>
      </c>
      <c r="E39" s="47">
        <f t="shared" si="0"/>
        <v>0</v>
      </c>
      <c r="F39" s="48">
        <v>84.18</v>
      </c>
      <c r="G39" s="49">
        <v>86</v>
      </c>
      <c r="H39" s="49">
        <v>87.2</v>
      </c>
      <c r="I39" s="49">
        <v>88.22</v>
      </c>
      <c r="J39" s="49">
        <v>88.66</v>
      </c>
      <c r="K39" s="49">
        <v>88.72</v>
      </c>
      <c r="L39" s="49">
        <v>89.06</v>
      </c>
      <c r="M39" s="49">
        <v>88.54</v>
      </c>
      <c r="N39" s="73">
        <v>89.04</v>
      </c>
      <c r="O39" s="73">
        <v>88.72</v>
      </c>
      <c r="P39" s="73">
        <v>90.1</v>
      </c>
      <c r="Q39" s="73">
        <v>91.06</v>
      </c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</row>
    <row r="40" spans="1:33">
      <c r="A40" s="22" t="s">
        <v>211</v>
      </c>
      <c r="B40" s="1" t="s">
        <v>212</v>
      </c>
      <c r="C40" s="23">
        <f>8.33333333333333%</f>
        <v>0.0833333333333333</v>
      </c>
      <c r="D40" s="24">
        <f t="shared" si="1"/>
        <v>833333.333333333</v>
      </c>
      <c r="E40" s="47">
        <f t="shared" si="0"/>
        <v>34578</v>
      </c>
      <c r="F40" s="48">
        <v>24.1</v>
      </c>
      <c r="G40" s="49">
        <v>24.21</v>
      </c>
      <c r="H40" s="49">
        <v>24.5</v>
      </c>
      <c r="I40" s="49">
        <v>25.22</v>
      </c>
      <c r="J40" s="49">
        <v>25.74</v>
      </c>
      <c r="K40" s="49">
        <v>25.93</v>
      </c>
      <c r="L40" s="49">
        <v>25.6</v>
      </c>
      <c r="M40" s="49">
        <v>25.73</v>
      </c>
      <c r="N40" s="73">
        <v>26.18</v>
      </c>
      <c r="O40" s="73">
        <v>26.04</v>
      </c>
      <c r="P40" s="73">
        <v>26.22</v>
      </c>
      <c r="Q40" s="73">
        <v>26.17</v>
      </c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</row>
    <row r="41" spans="1:33">
      <c r="A41" s="22" t="s">
        <v>213</v>
      </c>
      <c r="B41" s="1" t="s">
        <v>214</v>
      </c>
      <c r="C41" s="23">
        <v>0</v>
      </c>
      <c r="D41" s="24">
        <f t="shared" si="1"/>
        <v>0</v>
      </c>
      <c r="E41" s="47">
        <f t="shared" si="0"/>
        <v>0</v>
      </c>
      <c r="F41" s="48">
        <v>12.35</v>
      </c>
      <c r="G41" s="49">
        <v>12.3</v>
      </c>
      <c r="H41" s="49">
        <v>12.355</v>
      </c>
      <c r="I41" s="49">
        <v>12.43</v>
      </c>
      <c r="J41" s="49">
        <v>12.49</v>
      </c>
      <c r="K41" s="49">
        <v>12.65</v>
      </c>
      <c r="L41" s="49">
        <v>12.705</v>
      </c>
      <c r="M41" s="49">
        <v>12.76</v>
      </c>
      <c r="N41" s="73">
        <v>12.725</v>
      </c>
      <c r="O41" s="73">
        <v>12.765</v>
      </c>
      <c r="P41" s="73">
        <v>12.805</v>
      </c>
      <c r="Q41" s="73">
        <v>12.785</v>
      </c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</row>
    <row r="42" spans="1:33">
      <c r="A42" s="22" t="s">
        <v>215</v>
      </c>
      <c r="B42" s="1" t="s">
        <v>216</v>
      </c>
      <c r="C42" s="23">
        <f>8.33333333333333%</f>
        <v>0.0833333333333333</v>
      </c>
      <c r="D42" s="24">
        <f t="shared" si="1"/>
        <v>833333.333333333</v>
      </c>
      <c r="E42" s="47">
        <f t="shared" si="0"/>
        <v>12641</v>
      </c>
      <c r="F42" s="48">
        <v>65.92</v>
      </c>
      <c r="G42" s="49">
        <v>66.54</v>
      </c>
      <c r="H42" s="49">
        <v>66.6</v>
      </c>
      <c r="I42" s="49">
        <v>64.6</v>
      </c>
      <c r="J42" s="49">
        <v>65.7</v>
      </c>
      <c r="K42" s="49">
        <v>66.46</v>
      </c>
      <c r="L42" s="49">
        <v>66.26</v>
      </c>
      <c r="M42" s="49">
        <v>66.78</v>
      </c>
      <c r="N42" s="73">
        <v>66.8</v>
      </c>
      <c r="O42" s="73">
        <v>67.52</v>
      </c>
      <c r="P42" s="73">
        <v>67.66</v>
      </c>
      <c r="Q42" s="73">
        <v>67.34</v>
      </c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</row>
    <row r="43" spans="1:33">
      <c r="A43" s="22" t="s">
        <v>217</v>
      </c>
      <c r="B43" s="1" t="s">
        <v>218</v>
      </c>
      <c r="C43" s="23">
        <v>0</v>
      </c>
      <c r="D43" s="24">
        <f t="shared" si="1"/>
        <v>0</v>
      </c>
      <c r="E43" s="47">
        <f t="shared" si="0"/>
        <v>0</v>
      </c>
      <c r="F43" s="48">
        <v>36.2</v>
      </c>
      <c r="G43" s="49">
        <v>36.57</v>
      </c>
      <c r="H43" s="49">
        <v>36.66</v>
      </c>
      <c r="I43" s="49">
        <v>36.92</v>
      </c>
      <c r="J43" s="49">
        <v>37.36</v>
      </c>
      <c r="K43" s="49">
        <v>37.85</v>
      </c>
      <c r="L43" s="49">
        <v>38.34</v>
      </c>
      <c r="M43" s="49">
        <v>38.34</v>
      </c>
      <c r="N43" s="73">
        <v>38.55</v>
      </c>
      <c r="O43" s="73">
        <v>39.04</v>
      </c>
      <c r="P43" s="73">
        <v>39.28</v>
      </c>
      <c r="Q43" s="73">
        <v>38.92</v>
      </c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</row>
    <row r="44" spans="1:33">
      <c r="A44" s="22" t="s">
        <v>219</v>
      </c>
      <c r="B44" s="1" t="s">
        <v>220</v>
      </c>
      <c r="C44" s="23">
        <v>0</v>
      </c>
      <c r="D44" s="24">
        <f t="shared" si="1"/>
        <v>0</v>
      </c>
      <c r="E44" s="47">
        <f t="shared" si="0"/>
        <v>0</v>
      </c>
      <c r="F44" s="48">
        <v>68.02</v>
      </c>
      <c r="G44" s="49">
        <v>65.44</v>
      </c>
      <c r="H44" s="49">
        <v>68.4</v>
      </c>
      <c r="I44" s="49">
        <v>68</v>
      </c>
      <c r="J44" s="49">
        <v>70.46</v>
      </c>
      <c r="K44" s="49">
        <v>70.32</v>
      </c>
      <c r="L44" s="49">
        <v>68.98</v>
      </c>
      <c r="M44" s="49">
        <v>69.38</v>
      </c>
      <c r="N44" s="73">
        <v>69.18</v>
      </c>
      <c r="O44" s="73">
        <v>69.68</v>
      </c>
      <c r="P44" s="73">
        <v>72.48</v>
      </c>
      <c r="Q44" s="73">
        <v>72.6</v>
      </c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</row>
    <row r="45" spans="1:17">
      <c r="A45" s="9" t="s">
        <v>221</v>
      </c>
      <c r="B45" s="25" t="s">
        <v>222</v>
      </c>
      <c r="C45" s="26">
        <v>1</v>
      </c>
      <c r="D45" s="27">
        <f>D1</f>
        <v>10000000</v>
      </c>
      <c r="E45" s="50">
        <f t="shared" si="0"/>
        <v>1325</v>
      </c>
      <c r="F45" s="51">
        <v>7546.16</v>
      </c>
      <c r="G45" s="52">
        <v>7632.01</v>
      </c>
      <c r="H45" s="52">
        <v>7621.04</v>
      </c>
      <c r="I45" s="52">
        <v>7635.03</v>
      </c>
      <c r="J45" s="52">
        <v>7709.32</v>
      </c>
      <c r="K45" s="9">
        <v>7743</v>
      </c>
      <c r="L45" s="9">
        <v>7698.52</v>
      </c>
      <c r="M45" s="9">
        <v>7753.42</v>
      </c>
      <c r="N45" s="9">
        <v>7804.97</v>
      </c>
      <c r="O45" s="9">
        <v>7870.34</v>
      </c>
      <c r="P45" s="9">
        <v>7923.45</v>
      </c>
      <c r="Q45" s="9">
        <v>7884.05</v>
      </c>
    </row>
    <row r="46" s="7" customFormat="1" ht="18.35" spans="1:10">
      <c r="A46" s="28" t="s">
        <v>54</v>
      </c>
      <c r="B46" s="29"/>
      <c r="C46" s="30">
        <f>SUM(C5:C44)</f>
        <v>0.999999999999999</v>
      </c>
      <c r="D46" s="31">
        <f>SUM(D5:D44)</f>
        <v>10000000</v>
      </c>
      <c r="E46" s="53"/>
      <c r="F46" s="54"/>
      <c r="G46" s="55"/>
      <c r="H46" s="56"/>
      <c r="I46" s="56"/>
      <c r="J46" s="56"/>
    </row>
    <row r="47" s="8" customFormat="1" ht="18.35" spans="1:11">
      <c r="A47"/>
      <c r="B47" s="1"/>
      <c r="C47" s="23"/>
      <c r="D47" s="32"/>
      <c r="E47" s="57"/>
      <c r="F47" s="58"/>
      <c r="G47" s="49"/>
      <c r="H47" s="49"/>
      <c r="I47" s="49"/>
      <c r="J47" s="49"/>
      <c r="K47"/>
    </row>
    <row r="48" s="9" customFormat="1" ht="18.35" spans="1:33">
      <c r="A48" s="33"/>
      <c r="B48" s="34"/>
      <c r="C48" s="35"/>
      <c r="D48" s="36"/>
      <c r="E48" s="59"/>
      <c r="F48" s="60"/>
      <c r="G48" s="61"/>
      <c r="H48" s="52"/>
      <c r="I48" s="52"/>
      <c r="J48" s="52"/>
      <c r="K48" s="71"/>
      <c r="L48" s="52"/>
      <c r="M48" s="52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</row>
    <row r="49" spans="2:11">
      <c r="B49" s="1"/>
      <c r="C49" s="4"/>
      <c r="D49" s="32"/>
      <c r="E49" s="57"/>
      <c r="F49" s="58"/>
      <c r="G49" s="49"/>
      <c r="H49" s="49"/>
      <c r="I49" s="49"/>
      <c r="J49" s="49"/>
      <c r="K49" s="72"/>
    </row>
    <row r="50" s="7" customFormat="1" spans="1:33">
      <c r="A50" s="7" t="s">
        <v>55</v>
      </c>
      <c r="E50" s="62"/>
      <c r="F50" s="51">
        <v>0</v>
      </c>
      <c r="G50" s="56" cm="1">
        <f t="array" ref="G50">SUMPRODUCT((G5:G44-F5:F44),$E5:$E44)</f>
        <v>50477.1650000001</v>
      </c>
      <c r="H50" s="56" cm="1">
        <f t="array" ref="H50">SUMPRODUCT((H5:H44-G5:G44),$E5:$E44)</f>
        <v>-5868.96500000013</v>
      </c>
      <c r="I50" s="56" cm="1">
        <f t="array" ref="I50">SUMPRODUCT((I5:I44-H5:H44),$E5:$E44)</f>
        <v>-11677.8099999999</v>
      </c>
      <c r="J50" s="56" cm="1">
        <f t="array" ref="J50">SUMPRODUCT((J5:J44-I5:I44),$E5:$E44)</f>
        <v>95880.145</v>
      </c>
      <c r="K50" s="56" cm="1">
        <f t="array" ref="K50">SUMPRODUCT((K5:K44-J5:J44),$E5:$E44)</f>
        <v>79551.4000000001</v>
      </c>
      <c r="L50" s="56" cm="1">
        <f t="array" ref="L50">SUMPRODUCT((L5:L44-K5:K44),$E5:$E44)</f>
        <v>-22801.0349999999</v>
      </c>
      <c r="M50" s="56" cm="1">
        <f t="array" ref="M50">SUMPRODUCT((M5:M44-L5:L44),$E5:$E44)</f>
        <v>33497.2349999999</v>
      </c>
      <c r="N50" s="56" cm="1">
        <f t="array" ref="N50">SUMPRODUCT((N5:N44-M5:M44),$E5:$E44)</f>
        <v>80887.1549999999</v>
      </c>
      <c r="O50" s="56" cm="1">
        <f t="array" ref="O50">SUMPRODUCT((O5:O44-N5:N44),$E5:$E44)</f>
        <v>65022.0650000001</v>
      </c>
      <c r="P50" s="56" cm="1">
        <f t="array" ref="P50">SUMPRODUCT((P5:P44-O5:O44),$E5:$E44)</f>
        <v>49600.1099999998</v>
      </c>
      <c r="Q50" s="56" cm="1">
        <f t="array" ref="Q50">SUMPRODUCT((Q5:Q44-P5:P44),$E5:$E44)</f>
        <v>-39095.9949999999</v>
      </c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</row>
    <row r="51" s="7" customFormat="1" spans="1:33">
      <c r="A51" s="7" t="s">
        <v>56</v>
      </c>
      <c r="E51" s="62"/>
      <c r="F51" s="63">
        <v>0</v>
      </c>
      <c r="G51" s="64">
        <f>G50/$D$46</f>
        <v>0.00504771650000001</v>
      </c>
      <c r="H51" s="64">
        <f t="shared" ref="H51:L51" si="2">H50/$D$46</f>
        <v>-0.000586896500000013</v>
      </c>
      <c r="I51" s="64">
        <f t="shared" si="2"/>
        <v>-0.00116778099999999</v>
      </c>
      <c r="J51" s="64">
        <f t="shared" si="2"/>
        <v>0.0095880145</v>
      </c>
      <c r="K51" s="64">
        <f t="shared" si="2"/>
        <v>0.00795514000000002</v>
      </c>
      <c r="L51" s="64">
        <f t="shared" si="2"/>
        <v>-0.00228010349999999</v>
      </c>
      <c r="M51" s="64">
        <f t="shared" ref="M51" si="3">M50/$D$46</f>
        <v>0.0033497235</v>
      </c>
      <c r="N51" s="64">
        <f t="shared" ref="N51" si="4">N50/$D$46</f>
        <v>0.00808871549999999</v>
      </c>
      <c r="O51" s="64">
        <f t="shared" ref="O51" si="5">O50/$D$46</f>
        <v>0.00650220650000002</v>
      </c>
      <c r="P51" s="64">
        <f t="shared" ref="P51" si="6">P50/$D$46</f>
        <v>0.00496001099999998</v>
      </c>
      <c r="Q51" s="64">
        <f t="shared" ref="Q51" si="7">Q50/$D$46</f>
        <v>-0.00390959949999999</v>
      </c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</row>
    <row r="52" s="7" customFormat="1" spans="1:33">
      <c r="A52" s="7" t="s">
        <v>57</v>
      </c>
      <c r="E52" s="62"/>
      <c r="F52" s="51">
        <v>0</v>
      </c>
      <c r="G52" s="65">
        <f>G50</f>
        <v>50477.1650000001</v>
      </c>
      <c r="H52" s="65">
        <f>G52+H50</f>
        <v>44608.2</v>
      </c>
      <c r="I52" s="65">
        <f t="shared" ref="I52:L52" si="8">H52+I50</f>
        <v>32930.3900000001</v>
      </c>
      <c r="J52" s="65">
        <f t="shared" si="8"/>
        <v>128810.535</v>
      </c>
      <c r="K52" s="65">
        <f t="shared" si="8"/>
        <v>208361.935</v>
      </c>
      <c r="L52" s="65">
        <f t="shared" si="8"/>
        <v>185560.9</v>
      </c>
      <c r="M52" s="65">
        <f t="shared" ref="M52:Q52" si="9">L52+M50</f>
        <v>219058.135</v>
      </c>
      <c r="N52" s="65">
        <f t="shared" si="9"/>
        <v>299945.29</v>
      </c>
      <c r="O52" s="65">
        <f t="shared" si="9"/>
        <v>364967.355</v>
      </c>
      <c r="P52" s="65">
        <f t="shared" si="9"/>
        <v>414567.465</v>
      </c>
      <c r="Q52" s="65">
        <f t="shared" si="9"/>
        <v>375471.47</v>
      </c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</row>
    <row r="53" s="10" customFormat="1" spans="1:33">
      <c r="A53" s="10" t="s">
        <v>58</v>
      </c>
      <c r="E53" s="62"/>
      <c r="F53" s="63">
        <v>0</v>
      </c>
      <c r="G53" s="66">
        <f>G52/$D$46</f>
        <v>0.00504771650000001</v>
      </c>
      <c r="H53" s="66">
        <f t="shared" ref="H53:Q53" si="10">H52/$D$46</f>
        <v>0.00446082</v>
      </c>
      <c r="I53" s="66">
        <f t="shared" si="10"/>
        <v>0.00329303900000001</v>
      </c>
      <c r="J53" s="66">
        <f t="shared" si="10"/>
        <v>0.0128810535</v>
      </c>
      <c r="K53" s="66">
        <f t="shared" si="10"/>
        <v>0.0208361935</v>
      </c>
      <c r="L53" s="66">
        <f t="shared" si="10"/>
        <v>0.01855609</v>
      </c>
      <c r="M53" s="66">
        <f t="shared" si="10"/>
        <v>0.0219058135</v>
      </c>
      <c r="N53" s="66">
        <f t="shared" si="10"/>
        <v>0.029994529</v>
      </c>
      <c r="O53" s="66">
        <f t="shared" si="10"/>
        <v>0.0364967355</v>
      </c>
      <c r="P53" s="66">
        <f t="shared" si="10"/>
        <v>0.0414567465</v>
      </c>
      <c r="Q53" s="66">
        <f t="shared" si="10"/>
        <v>0.037547147</v>
      </c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</row>
    <row r="54" spans="6:25">
      <c r="F54" s="67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</row>
    <row r="55" s="7" customFormat="1" spans="1:17">
      <c r="A55" s="7" t="s">
        <v>59</v>
      </c>
      <c r="E55" s="69"/>
      <c r="F55" s="51">
        <v>0</v>
      </c>
      <c r="G55" s="56">
        <f>(G45-F45)*$E$45</f>
        <v>113751.25</v>
      </c>
      <c r="H55" s="56">
        <f t="shared" ref="H55:Q55" si="11">(H45-G45)*$E$45</f>
        <v>-14535.2500000003</v>
      </c>
      <c r="I55" s="56">
        <f t="shared" si="11"/>
        <v>18536.7499999997</v>
      </c>
      <c r="J55" s="56">
        <f t="shared" si="11"/>
        <v>98434.25</v>
      </c>
      <c r="K55" s="56">
        <f t="shared" si="11"/>
        <v>44626.0000000004</v>
      </c>
      <c r="L55" s="56">
        <f t="shared" si="11"/>
        <v>-58935.9999999994</v>
      </c>
      <c r="M55" s="56">
        <f t="shared" si="11"/>
        <v>72742.4999999995</v>
      </c>
      <c r="N55" s="56">
        <f t="shared" si="11"/>
        <v>68303.7500000002</v>
      </c>
      <c r="O55" s="56">
        <f t="shared" si="11"/>
        <v>86615.2499999999</v>
      </c>
      <c r="P55" s="56">
        <f t="shared" si="11"/>
        <v>70370.7499999996</v>
      </c>
      <c r="Q55" s="56">
        <f t="shared" si="11"/>
        <v>-52204.9999999995</v>
      </c>
    </row>
    <row r="56" s="7" customFormat="1" spans="1:17">
      <c r="A56" s="7" t="s">
        <v>60</v>
      </c>
      <c r="E56" s="69"/>
      <c r="F56" s="63">
        <v>0</v>
      </c>
      <c r="G56" s="64">
        <f>G55/$D$45</f>
        <v>0.011375125</v>
      </c>
      <c r="H56" s="64">
        <f t="shared" ref="H56:Q56" si="12">H55/$D$45</f>
        <v>-0.00145352500000003</v>
      </c>
      <c r="I56" s="64">
        <f t="shared" si="12"/>
        <v>0.00185367499999997</v>
      </c>
      <c r="J56" s="64">
        <f t="shared" si="12"/>
        <v>0.009843425</v>
      </c>
      <c r="K56" s="64">
        <f t="shared" si="12"/>
        <v>0.00446260000000004</v>
      </c>
      <c r="L56" s="64">
        <f t="shared" si="12"/>
        <v>-0.00589359999999994</v>
      </c>
      <c r="M56" s="64">
        <f t="shared" si="12"/>
        <v>0.00727424999999995</v>
      </c>
      <c r="N56" s="64">
        <f t="shared" si="12"/>
        <v>0.00683037500000002</v>
      </c>
      <c r="O56" s="64">
        <f t="shared" si="12"/>
        <v>0.00866152499999999</v>
      </c>
      <c r="P56" s="64">
        <f t="shared" si="12"/>
        <v>0.00703707499999996</v>
      </c>
      <c r="Q56" s="64">
        <f t="shared" si="12"/>
        <v>-0.00522049999999995</v>
      </c>
    </row>
    <row r="57" s="7" customFormat="1" spans="1:17">
      <c r="A57" s="7" t="s">
        <v>61</v>
      </c>
      <c r="E57" s="69"/>
      <c r="F57" s="51">
        <v>0</v>
      </c>
      <c r="G57" s="56">
        <f>G55</f>
        <v>113751.25</v>
      </c>
      <c r="H57" s="56">
        <f>G57+H55</f>
        <v>99216.0000000001</v>
      </c>
      <c r="I57" s="56">
        <f t="shared" ref="I57:Q57" si="13">H57+I55</f>
        <v>117752.75</v>
      </c>
      <c r="J57" s="56">
        <f t="shared" si="13"/>
        <v>216187</v>
      </c>
      <c r="K57" s="56">
        <f t="shared" si="13"/>
        <v>260813</v>
      </c>
      <c r="L57" s="56">
        <f t="shared" si="13"/>
        <v>201877.000000001</v>
      </c>
      <c r="M57" s="56">
        <f t="shared" si="13"/>
        <v>274619.5</v>
      </c>
      <c r="N57" s="56">
        <f t="shared" si="13"/>
        <v>342923.250000001</v>
      </c>
      <c r="O57" s="56">
        <f t="shared" si="13"/>
        <v>429538.5</v>
      </c>
      <c r="P57" s="56">
        <f t="shared" si="13"/>
        <v>499909.25</v>
      </c>
      <c r="Q57" s="56">
        <f t="shared" si="13"/>
        <v>447704.25</v>
      </c>
    </row>
    <row r="58" s="7" customFormat="1" spans="1:17">
      <c r="A58" s="10" t="s">
        <v>62</v>
      </c>
      <c r="E58" s="69"/>
      <c r="F58" s="63">
        <v>0</v>
      </c>
      <c r="G58" s="66">
        <f>G57/$D$45</f>
        <v>0.011375125</v>
      </c>
      <c r="H58" s="66">
        <f t="shared" ref="H58:Q58" si="14">H57/$D$45</f>
        <v>0.00992160000000001</v>
      </c>
      <c r="I58" s="66">
        <f t="shared" si="14"/>
        <v>0.011775275</v>
      </c>
      <c r="J58" s="66">
        <f t="shared" si="14"/>
        <v>0.0216187</v>
      </c>
      <c r="K58" s="66">
        <f t="shared" si="14"/>
        <v>0.0260813</v>
      </c>
      <c r="L58" s="66">
        <f t="shared" si="14"/>
        <v>0.0201877000000001</v>
      </c>
      <c r="M58" s="66">
        <f t="shared" si="14"/>
        <v>0.02746195</v>
      </c>
      <c r="N58" s="66">
        <f t="shared" si="14"/>
        <v>0.0342923250000001</v>
      </c>
      <c r="O58" s="66">
        <f t="shared" si="14"/>
        <v>0.04295385</v>
      </c>
      <c r="P58" s="66">
        <f t="shared" si="14"/>
        <v>0.049990925</v>
      </c>
      <c r="Q58" s="66">
        <f t="shared" si="14"/>
        <v>0.044770425</v>
      </c>
    </row>
    <row r="60" s="7" customFormat="1" spans="1:17">
      <c r="A60" s="7" t="s">
        <v>63</v>
      </c>
      <c r="E60" s="69"/>
      <c r="F60" s="56">
        <f>F50-F55</f>
        <v>0</v>
      </c>
      <c r="G60" s="56">
        <f t="shared" ref="G60:Q60" si="15">G50-G55</f>
        <v>-63274.0850000004</v>
      </c>
      <c r="H60" s="56">
        <f t="shared" si="15"/>
        <v>8666.28500000021</v>
      </c>
      <c r="I60" s="56">
        <f t="shared" si="15"/>
        <v>-30214.5599999996</v>
      </c>
      <c r="J60" s="56">
        <f t="shared" si="15"/>
        <v>-2554.10499999998</v>
      </c>
      <c r="K60" s="56">
        <f t="shared" si="15"/>
        <v>34925.3999999997</v>
      </c>
      <c r="L60" s="56">
        <f t="shared" si="15"/>
        <v>36134.9649999995</v>
      </c>
      <c r="M60" s="56">
        <f t="shared" si="15"/>
        <v>-39245.2649999996</v>
      </c>
      <c r="N60" s="56">
        <f t="shared" si="15"/>
        <v>12583.4049999996</v>
      </c>
      <c r="O60" s="56">
        <f t="shared" si="15"/>
        <v>-21593.1849999997</v>
      </c>
      <c r="P60" s="56">
        <f t="shared" si="15"/>
        <v>-20770.6399999998</v>
      </c>
      <c r="Q60" s="56">
        <f t="shared" si="15"/>
        <v>13109.0049999996</v>
      </c>
    </row>
    <row r="61" s="7" customFormat="1" spans="1:17">
      <c r="A61" s="7" t="s">
        <v>64</v>
      </c>
      <c r="E61" s="69"/>
      <c r="F61" s="70">
        <f t="shared" ref="F61:Q63" si="16">F51-F56</f>
        <v>0</v>
      </c>
      <c r="G61" s="70">
        <f t="shared" si="16"/>
        <v>-0.00632740850000003</v>
      </c>
      <c r="H61" s="70">
        <f t="shared" si="16"/>
        <v>0.000866628500000021</v>
      </c>
      <c r="I61" s="70">
        <f t="shared" si="16"/>
        <v>-0.00302145599999996</v>
      </c>
      <c r="J61" s="70">
        <f t="shared" si="16"/>
        <v>-0.000255410499999996</v>
      </c>
      <c r="K61" s="70">
        <f t="shared" si="16"/>
        <v>0.00349253999999998</v>
      </c>
      <c r="L61" s="70">
        <f t="shared" si="16"/>
        <v>0.00361349649999995</v>
      </c>
      <c r="M61" s="70">
        <f t="shared" si="16"/>
        <v>-0.00392452649999996</v>
      </c>
      <c r="N61" s="70">
        <f t="shared" si="16"/>
        <v>0.00125834049999996</v>
      </c>
      <c r="O61" s="70">
        <f t="shared" si="16"/>
        <v>-0.00215931849999997</v>
      </c>
      <c r="P61" s="70">
        <f t="shared" si="16"/>
        <v>-0.00207706399999997</v>
      </c>
      <c r="Q61" s="70">
        <f t="shared" si="16"/>
        <v>0.00131090049999996</v>
      </c>
    </row>
    <row r="62" s="7" customFormat="1" spans="1:17">
      <c r="A62" s="7" t="s">
        <v>65</v>
      </c>
      <c r="E62" s="69"/>
      <c r="F62" s="56">
        <f t="shared" si="16"/>
        <v>0</v>
      </c>
      <c r="G62" s="56">
        <f t="shared" si="16"/>
        <v>-63274.0850000004</v>
      </c>
      <c r="H62" s="56">
        <f t="shared" si="16"/>
        <v>-54607.8000000002</v>
      </c>
      <c r="I62" s="56">
        <f t="shared" si="16"/>
        <v>-84822.3599999998</v>
      </c>
      <c r="J62" s="56">
        <f t="shared" si="16"/>
        <v>-87376.4649999998</v>
      </c>
      <c r="K62" s="56">
        <f t="shared" si="16"/>
        <v>-52451.065</v>
      </c>
      <c r="L62" s="56">
        <f t="shared" si="16"/>
        <v>-16316.1000000005</v>
      </c>
      <c r="M62" s="56">
        <f t="shared" si="16"/>
        <v>-55561.3650000001</v>
      </c>
      <c r="N62" s="56">
        <f t="shared" si="16"/>
        <v>-42977.9600000005</v>
      </c>
      <c r="O62" s="56">
        <f t="shared" si="16"/>
        <v>-64571.1450000002</v>
      </c>
      <c r="P62" s="56">
        <f t="shared" si="16"/>
        <v>-85341.7849999999</v>
      </c>
      <c r="Q62" s="56">
        <f t="shared" si="16"/>
        <v>-72232.7800000003</v>
      </c>
    </row>
    <row r="63" s="7" customFormat="1" spans="1:17">
      <c r="A63" s="7" t="s">
        <v>66</v>
      </c>
      <c r="E63" s="69"/>
      <c r="F63" s="70">
        <f t="shared" si="16"/>
        <v>0</v>
      </c>
      <c r="G63" s="70">
        <f t="shared" si="16"/>
        <v>-0.00632740850000003</v>
      </c>
      <c r="H63" s="70">
        <f t="shared" si="16"/>
        <v>-0.00546078000000001</v>
      </c>
      <c r="I63" s="70">
        <f t="shared" si="16"/>
        <v>-0.00848223599999998</v>
      </c>
      <c r="J63" s="70">
        <f t="shared" si="16"/>
        <v>-0.00873764649999998</v>
      </c>
      <c r="K63" s="70">
        <f t="shared" si="16"/>
        <v>-0.0052451065</v>
      </c>
      <c r="L63" s="70">
        <f t="shared" si="16"/>
        <v>-0.00163161000000005</v>
      </c>
      <c r="M63" s="70">
        <f t="shared" si="16"/>
        <v>-0.0055561365</v>
      </c>
      <c r="N63" s="70">
        <f t="shared" si="16"/>
        <v>-0.00429779600000004</v>
      </c>
      <c r="O63" s="70">
        <f t="shared" si="16"/>
        <v>-0.00645711450000001</v>
      </c>
      <c r="P63" s="70">
        <f t="shared" si="16"/>
        <v>-0.00853417849999998</v>
      </c>
      <c r="Q63" s="70">
        <f t="shared" si="16"/>
        <v>-0.00722327800000001</v>
      </c>
    </row>
  </sheetData>
  <mergeCells count="1">
    <mergeCell ref="E1:F2"/>
  </mergeCells>
  <conditionalFormatting sqref="C4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{674b3b4c-b6e8-4e7b-a5ce-1ebcf75ee1a0}</x14:id>
        </ext>
      </extLst>
    </cfRule>
  </conditionalFormatting>
  <conditionalFormatting sqref="C5:C4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{0319aac8-ea4c-41bb-8e0b-86a755299dff}</x14:id>
        </ext>
      </extLst>
    </cfRule>
  </conditionalFormatting>
  <pageMargins left="0.75" right="0.75" top="1" bottom="1" header="0.5" footer="0.5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4b3b4c-b6e8-4e7b-a5ce-1ebcf75ee1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C45</xm:sqref>
        </x14:conditionalFormatting>
        <x14:conditionalFormatting xmlns:xm="http://schemas.microsoft.com/office/excel/2006/main">
          <x14:cfRule type="dataBar" id="{0319aac8-ea4c-41bb-8e0b-86a755299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C5:C44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D17"/>
  <sheetViews>
    <sheetView topLeftCell="A2" workbookViewId="0">
      <selection activeCell="AA14" sqref="AA14"/>
    </sheetView>
  </sheetViews>
  <sheetFormatPr defaultColWidth="11" defaultRowHeight="17.6"/>
  <cols>
    <col min="1" max="1" width="18.6666666666667" style="1" customWidth="1"/>
    <col min="2" max="2" width="13.5" style="1" customWidth="1"/>
    <col min="3" max="3" width="14" style="1" customWidth="1"/>
    <col min="4" max="4" width="13.3333333333333" style="1" customWidth="1"/>
    <col min="5" max="5" width="13.8333333333333" style="1" customWidth="1"/>
    <col min="6" max="6" width="12.8333333333333" style="1" customWidth="1"/>
    <col min="7" max="7" width="13.3333333333333" style="1" customWidth="1"/>
    <col min="8" max="25" width="10.8333333333333" style="1"/>
    <col min="26" max="26" width="11.8333333333333" style="1" customWidth="1"/>
    <col min="27" max="16384" width="10.8333333333333" style="1"/>
  </cols>
  <sheetData>
    <row r="3" ht="20.4" spans="2:7">
      <c r="B3" s="2" t="s">
        <v>223</v>
      </c>
      <c r="C3" s="2" t="s">
        <v>224</v>
      </c>
      <c r="D3" s="2" t="s">
        <v>225</v>
      </c>
      <c r="E3" s="2" t="s">
        <v>226</v>
      </c>
      <c r="F3" s="2" t="s">
        <v>227</v>
      </c>
      <c r="G3" s="2" t="s">
        <v>228</v>
      </c>
    </row>
    <row r="4" ht="20.4" spans="1:7">
      <c r="A4" s="3">
        <v>45873</v>
      </c>
      <c r="B4" s="4">
        <v>0.00504771650000001</v>
      </c>
      <c r="C4" s="4">
        <v>0.011375125</v>
      </c>
      <c r="D4" s="4">
        <v>0.00844098050075972</v>
      </c>
      <c r="E4" s="4">
        <v>0.0141312719999999</v>
      </c>
      <c r="F4" s="4">
        <v>0</v>
      </c>
      <c r="G4" s="4">
        <v>0</v>
      </c>
    </row>
    <row r="5" ht="20.4" spans="1:7">
      <c r="A5" s="3">
        <v>45874</v>
      </c>
      <c r="B5" s="4">
        <v>0.00446082</v>
      </c>
      <c r="C5" s="4">
        <v>0.00992160000000001</v>
      </c>
      <c r="D5" s="4">
        <v>0.00293238650026392</v>
      </c>
      <c r="E5" s="4">
        <v>0.0178962599999999</v>
      </c>
      <c r="F5" s="4">
        <v>0.00535604600000007</v>
      </c>
      <c r="G5" s="4">
        <v>0.00335862000000006</v>
      </c>
    </row>
    <row r="6" ht="20.4" spans="1:7">
      <c r="A6" s="3">
        <v>45875</v>
      </c>
      <c r="B6" s="4">
        <v>0.00329303900000001</v>
      </c>
      <c r="C6" s="4">
        <v>0.011775275</v>
      </c>
      <c r="D6" s="4">
        <v>0.00323740750029138</v>
      </c>
      <c r="E6" s="4">
        <v>0.021231414</v>
      </c>
      <c r="F6" s="4">
        <v>0.00502353900000005</v>
      </c>
      <c r="G6" s="4">
        <v>-0.00535602599999996</v>
      </c>
    </row>
    <row r="7" ht="20.4" spans="1:27">
      <c r="A7" s="3">
        <v>45876</v>
      </c>
      <c r="B7" s="4">
        <v>0.0128810535</v>
      </c>
      <c r="C7" s="4">
        <v>0.0216187</v>
      </c>
      <c r="D7" s="4">
        <v>0.0238139120021433</v>
      </c>
      <c r="E7" s="4">
        <v>0.032654178</v>
      </c>
      <c r="F7" s="4">
        <v>0.0176489410000002</v>
      </c>
      <c r="G7" s="4">
        <v>0.00261837000000006</v>
      </c>
      <c r="AA7" s="5"/>
    </row>
    <row r="8" ht="20.4" spans="1:27">
      <c r="A8" s="3">
        <v>45877</v>
      </c>
      <c r="B8" s="4">
        <v>0.0208361935</v>
      </c>
      <c r="C8" s="4">
        <v>0.0260813</v>
      </c>
      <c r="D8" s="4">
        <v>0.0327223765029451</v>
      </c>
      <c r="E8" s="4">
        <v>0.031391514</v>
      </c>
      <c r="F8" s="4">
        <v>0.0290107310000002</v>
      </c>
      <c r="G8" s="4">
        <v>0.0040794120000001</v>
      </c>
      <c r="AA8" s="5"/>
    </row>
    <row r="9" ht="20.4" spans="1:27">
      <c r="A9" s="3">
        <v>45880</v>
      </c>
      <c r="B9" s="4">
        <v>0.01855609</v>
      </c>
      <c r="C9" s="4">
        <v>0.0201877000000001</v>
      </c>
      <c r="D9" s="4">
        <v>0.0269933235024294</v>
      </c>
      <c r="E9" s="4">
        <v>0.027918762</v>
      </c>
      <c r="F9" s="4">
        <v>0.0184235620000001</v>
      </c>
      <c r="G9" s="4">
        <v>0.00434505600000005</v>
      </c>
      <c r="AA9" s="5"/>
    </row>
    <row r="10" ht="20.4" spans="1:27">
      <c r="A10" s="3">
        <v>45881</v>
      </c>
      <c r="B10" s="4">
        <v>0.0219058135</v>
      </c>
      <c r="C10" s="4">
        <v>0.02746195</v>
      </c>
      <c r="D10" s="4">
        <v>0.0316533330028489</v>
      </c>
      <c r="E10" s="4">
        <v>0.0255093059999999</v>
      </c>
      <c r="F10" s="4">
        <v>0.0289595110000003</v>
      </c>
      <c r="G10" s="4">
        <v>0.00573418800000006</v>
      </c>
      <c r="AA10" s="5"/>
    </row>
    <row r="11" ht="20.4" spans="1:27">
      <c r="A11" s="3">
        <v>45882</v>
      </c>
      <c r="B11" s="4">
        <v>0.029994529</v>
      </c>
      <c r="C11" s="4">
        <v>0.0342923250000001</v>
      </c>
      <c r="D11" s="4">
        <v>0.0397289600035757</v>
      </c>
      <c r="E11" s="4">
        <v>0.032359812</v>
      </c>
      <c r="F11" s="4">
        <v>0.0295106000000003</v>
      </c>
      <c r="G11" s="4">
        <v>0.0135546120000001</v>
      </c>
      <c r="AA11" s="5"/>
    </row>
    <row r="12" ht="20.4" spans="1:30">
      <c r="A12" s="3">
        <v>45883</v>
      </c>
      <c r="B12" s="4">
        <v>0.0364967355</v>
      </c>
      <c r="C12" s="4">
        <v>0.04295385</v>
      </c>
      <c r="D12" s="4">
        <v>0.0468444810042161</v>
      </c>
      <c r="E12" s="4">
        <v>0.040535178</v>
      </c>
      <c r="F12" s="4">
        <v>0.0286519450000003</v>
      </c>
      <c r="G12" s="4">
        <v>0.0154801080000001</v>
      </c>
      <c r="AD12" s="5"/>
    </row>
    <row r="13" ht="20.4" spans="1:7">
      <c r="A13" s="3">
        <v>45884</v>
      </c>
      <c r="B13" s="4">
        <v>0.0414567465</v>
      </c>
      <c r="C13" s="4">
        <v>0.049990925</v>
      </c>
      <c r="D13" s="4">
        <v>0.0447911890040313</v>
      </c>
      <c r="E13" s="4">
        <v>0.0397598579999999</v>
      </c>
      <c r="F13" s="4">
        <v>0.0259124030000002</v>
      </c>
      <c r="G13" s="4">
        <v>0.0216322200000001</v>
      </c>
    </row>
    <row r="14" ht="20.4" spans="1:7">
      <c r="A14" s="3">
        <v>45887</v>
      </c>
      <c r="B14" s="4">
        <v>0.037547147</v>
      </c>
      <c r="C14" s="4">
        <v>0.044770425</v>
      </c>
      <c r="D14" s="4">
        <v>0.0448464140040362</v>
      </c>
      <c r="E14" s="4">
        <v>0.03786288</v>
      </c>
      <c r="F14" s="4">
        <v>0.0239801850000002</v>
      </c>
      <c r="G14" s="4">
        <v>0.02142495</v>
      </c>
    </row>
    <row r="17" spans="21:26">
      <c r="U17" s="5"/>
      <c r="Z17" s="5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SMI20</vt:lpstr>
      <vt:lpstr>DAX40</vt:lpstr>
      <vt:lpstr>CAC40</vt:lpstr>
      <vt:lpstr>CumSpreadPercent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Kaixin</cp:lastModifiedBy>
  <dcterms:created xsi:type="dcterms:W3CDTF">2025-07-16T13:59:00Z</dcterms:created>
  <dcterms:modified xsi:type="dcterms:W3CDTF">2025-10-29T00:07:10Z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EBA707C74B9F31709E4C0169801E86E0_42</vt:lpwstr>
  </property>
  <property fmtid="{D5CDD505-2E9C-101B-9397-08002B2CF9AE}" pid="3" name="KSOProductBuildVer">
    <vt:lpwstr>2052-12.1.23141.23141</vt:lpwstr>
  </property>
</Properties>
</file>