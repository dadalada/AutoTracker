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 activeTab="5"/>
  </bookViews>
  <sheets>
    <sheet name="MVE" sheetId="8" r:id="rId1"/>
    <sheet name="IR" sheetId="1" r:id="rId2"/>
    <sheet name="RP" sheetId="7" r:id="rId3"/>
    <sheet name="Weight" sheetId="5" r:id="rId4"/>
    <sheet name="paper-trading" sheetId="6" r:id="rId5"/>
    <sheet name="attribution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<sst xmlns="http://schemas.openxmlformats.org/spreadsheetml/2006/main" count="626" uniqueCount="125">
  <si>
    <t>Last Rebalancing Date</t>
  </si>
  <si>
    <t>2025.03.05</t>
  </si>
  <si>
    <t>AUM</t>
  </si>
  <si>
    <t xml:space="preserve">Starting Point </t>
  </si>
  <si>
    <t>Rebalancing</t>
  </si>
  <si>
    <t>Next Rebalacing Date</t>
  </si>
  <si>
    <t>2025.08.06</t>
  </si>
  <si>
    <t>Company Name</t>
  </si>
  <si>
    <t>RIC</t>
  </si>
  <si>
    <t>Weight in Index</t>
  </si>
  <si>
    <t>Weight in Portfolio</t>
  </si>
  <si>
    <t>Asset Allocation</t>
  </si>
  <si>
    <t>#Shares</t>
  </si>
  <si>
    <t>Price</t>
  </si>
  <si>
    <t>Date</t>
  </si>
  <si>
    <t xml:space="preserve"> 2024-12-31</t>
  </si>
  <si>
    <t xml:space="preserve"> 2025-07-09</t>
  </si>
  <si>
    <t xml:space="preserve"> 2025-08-06</t>
  </si>
  <si>
    <t>LVMH</t>
  </si>
  <si>
    <t>LVMH.PA</t>
  </si>
  <si>
    <t>Schneider Electric</t>
  </si>
  <si>
    <t>SCHN.PA</t>
  </si>
  <si>
    <t>TotalEnergies</t>
  </si>
  <si>
    <t>TTEF.PA</t>
  </si>
  <si>
    <t>Sanofi</t>
  </si>
  <si>
    <t>SASY.PA</t>
  </si>
  <si>
    <t>Airbus</t>
  </si>
  <si>
    <t>AIR.PA</t>
  </si>
  <si>
    <t>Air Liquide</t>
  </si>
  <si>
    <t>AIRP.PA</t>
  </si>
  <si>
    <t>L'Oreal</t>
  </si>
  <si>
    <t>OREP.PA</t>
  </si>
  <si>
    <t>Safran</t>
  </si>
  <si>
    <t>SAF.PA</t>
  </si>
  <si>
    <t>EssilorLuxottica</t>
  </si>
  <si>
    <t>ESLX.PA</t>
  </si>
  <si>
    <t>Hermes</t>
  </si>
  <si>
    <t>HRMS.PA</t>
  </si>
  <si>
    <t>AXA</t>
  </si>
  <si>
    <t>AXAF.PA</t>
  </si>
  <si>
    <t>BNP Paribas SA</t>
  </si>
  <si>
    <t>BNPP.PA</t>
  </si>
  <si>
    <t>Vinci</t>
  </si>
  <si>
    <t>SGEF.PA</t>
  </si>
  <si>
    <t>Danone</t>
  </si>
  <si>
    <t>DANO.PA</t>
  </si>
  <si>
    <t>Saint Gobain</t>
  </si>
  <si>
    <t>SGOB.PA</t>
  </si>
  <si>
    <t>Engie</t>
  </si>
  <si>
    <t>ENGIE.PA</t>
  </si>
  <si>
    <t>Stellantis</t>
  </si>
  <si>
    <t>STLAM.MI</t>
  </si>
  <si>
    <t>Legrand</t>
  </si>
  <si>
    <t>LEGD.PA</t>
  </si>
  <si>
    <t>Capgemini</t>
  </si>
  <si>
    <t>CAPP.PA</t>
  </si>
  <si>
    <t>Publicis Groupe</t>
  </si>
  <si>
    <t>PUBP.PA</t>
  </si>
  <si>
    <t>Michelin</t>
  </si>
  <si>
    <t>MICP.PA</t>
  </si>
  <si>
    <t>Dassault Systemes</t>
  </si>
  <si>
    <t>DAST.PA</t>
  </si>
  <si>
    <t>Pernod Ricard</t>
  </si>
  <si>
    <t>PERP.PA</t>
  </si>
  <si>
    <t>Societe Generale</t>
  </si>
  <si>
    <t>SOGN.PA</t>
  </si>
  <si>
    <t>Veolia Environnement</t>
  </si>
  <si>
    <t>VIE.PA</t>
  </si>
  <si>
    <t>Orange</t>
  </si>
  <si>
    <t>ORAN.PA</t>
  </si>
  <si>
    <t>Kering</t>
  </si>
  <si>
    <t>PRTP.PA</t>
  </si>
  <si>
    <t>STMicroelectronics</t>
  </si>
  <si>
    <t>STMPA.PA</t>
  </si>
  <si>
    <t>Thales</t>
  </si>
  <si>
    <t>TCFP.PA</t>
  </si>
  <si>
    <t>Credit Agricole</t>
  </si>
  <si>
    <t>CAGR.PA</t>
  </si>
  <si>
    <t>Bureau Veritas</t>
  </si>
  <si>
    <t>BVI.PA</t>
  </si>
  <si>
    <t>Accor</t>
  </si>
  <si>
    <t>ACCP.PA</t>
  </si>
  <si>
    <t>Renault</t>
  </si>
  <si>
    <t>RENA.PA</t>
  </si>
  <si>
    <t>ArcelorMittal</t>
  </si>
  <si>
    <t>MT.AS</t>
  </si>
  <si>
    <t>Unibail-Rodamco-Westfield SE</t>
  </si>
  <si>
    <t>URW.PA</t>
  </si>
  <si>
    <t>Edenred</t>
  </si>
  <si>
    <t>EDEN.PA</t>
  </si>
  <si>
    <t>Carrefour</t>
  </si>
  <si>
    <t>CARR.PA</t>
  </si>
  <si>
    <t>Eurofins Scientific</t>
  </si>
  <si>
    <t>EUFI.PA</t>
  </si>
  <si>
    <t>Bouygues</t>
  </si>
  <si>
    <t>BOUY.PA</t>
  </si>
  <si>
    <t>Teleperformance</t>
  </si>
  <si>
    <t>TEPRF.PA</t>
  </si>
  <si>
    <t xml:space="preserve">CrossCheck </t>
  </si>
  <si>
    <t>CAC40</t>
  </si>
  <si>
    <t>.FCHI</t>
  </si>
  <si>
    <t>-</t>
  </si>
  <si>
    <t>MTM Daily Profit</t>
  </si>
  <si>
    <t>MTM Daily Percentage</t>
  </si>
  <si>
    <t>MTM Cumulative Profit</t>
  </si>
  <si>
    <t>MTM Cumulative Percentage</t>
  </si>
  <si>
    <t>Index Daily Profit</t>
  </si>
  <si>
    <t>Index Daily Percentage</t>
  </si>
  <si>
    <t>Index Cumulative Profit</t>
  </si>
  <si>
    <t>Index Cumulative Percentage</t>
  </si>
  <si>
    <t>Portfolio Daily Profit</t>
  </si>
  <si>
    <t>Portfolio Daily Percentage</t>
  </si>
  <si>
    <t>Portfolio Cumulative Profit</t>
  </si>
  <si>
    <t>Portfolio Cumulative Percentage</t>
  </si>
  <si>
    <t>Strategy Daily Profit</t>
  </si>
  <si>
    <t>Strategy Daily Percentage</t>
  </si>
  <si>
    <t>Strategy Cumulative Profit</t>
  </si>
  <si>
    <t>Strategy Cumulative Percentage</t>
  </si>
  <si>
    <t>Close</t>
  </si>
  <si>
    <t>IR</t>
  </si>
  <si>
    <t>MV</t>
  </si>
  <si>
    <t>RP</t>
  </si>
  <si>
    <t>MVE</t>
  </si>
  <si>
    <t>Index</t>
  </si>
  <si>
    <t>Index_Raw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</si>
</sst>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[$-409]mmm\-yy;@"/>
    <numFmt numFmtId="178" formatCode="yyyy\-mm\-dd;@"/>
    <numFmt numFmtId="179" formatCode="_([$€-2]\ * #,##0_);_([$€-2]\ * \(#,##0\);_([$€-2]\ * &quot;-&quot;??_);_(@_)"/>
    <numFmt numFmtId="180" formatCode="_([$€-2]\ * #,##0.00_);_([$€-2]\ * \(#,##0.00\);_([$€-2]\ * &quot;-&quot;??_);_(@_)"/>
    <numFmt numFmtId="181" formatCode="0.000%"/>
  </numFmts>
  <fonts count="21">
    <font>
      <sz val="1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7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8" applyNumberFormat="0" applyFill="0" applyAlignment="0" applyProtection="0"/>
    <xf numFmtId="0" fontId="9" fillId="0" borderId="39" applyNumberFormat="0" applyFill="0" applyAlignment="0" applyProtection="0"/>
    <xf numFmtId="0" fontId="10" fillId="0" borderId="40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41" applyNumberFormat="0" applyAlignment="0" applyProtection="0"/>
    <xf numFmtId="0" fontId="12" fillId="8" borderId="42" applyNumberFormat="0" applyAlignment="0" applyProtection="0"/>
    <xf numFmtId="0" fontId="13" fillId="8" borderId="41" applyNumberFormat="0" applyAlignment="0" applyProtection="0"/>
    <xf numFmtId="0" fontId="14" fillId="9" borderId="43" applyNumberFormat="0" applyAlignment="0" applyProtection="0"/>
    <xf numFmtId="0" fontId="15" fillId="0" borderId="44" applyNumberFormat="0" applyFill="0" applyAlignment="0" applyProtection="0"/>
    <xf numFmtId="0" fontId="16" fillId="0" borderId="45" applyNumberFormat="0" applyFill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</cellStyleXfs>
  <cellXfs count="94">
    <xf numFmtId="0" fontId="0" fillId="0" borderId="0" xfId="0"/>
    <xf numFmtId="177" fontId="0" fillId="0" borderId="0" xfId="0" applyNumberFormat="1"/>
    <xf numFmtId="178" fontId="0" fillId="0" borderId="0" xfId="0" applyNumberFormat="1"/>
    <xf numFmtId="10" fontId="0" fillId="0" borderId="0" xfId="3" applyNumberFormat="1" applyFont="1"/>
    <xf numFmtId="1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1" fillId="2" borderId="6" xfId="0" applyFont="1" applyFill="1" applyBorder="1"/>
    <xf numFmtId="0" fontId="0" fillId="2" borderId="6" xfId="0" applyFill="1" applyBorder="1"/>
    <xf numFmtId="0" fontId="0" fillId="3" borderId="0" xfId="0" applyFill="1"/>
    <xf numFmtId="0" fontId="0" fillId="0" borderId="6" xfId="0" applyBorder="1"/>
    <xf numFmtId="0" fontId="0" fillId="4" borderId="6" xfId="0" applyFill="1" applyBorder="1"/>
    <xf numFmtId="3" fontId="0" fillId="0" borderId="0" xfId="0" applyNumberFormat="1" applyAlignment="1">
      <alignment horizontal="right"/>
    </xf>
    <xf numFmtId="179" fontId="0" fillId="0" borderId="0" xfId="0" applyNumberFormat="1"/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 applyAlignment="1">
      <alignment horizontal="center" vertical="center"/>
    </xf>
    <xf numFmtId="10" fontId="0" fillId="2" borderId="14" xfId="0" applyNumberForma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10" fontId="0" fillId="0" borderId="16" xfId="3" applyNumberFormat="1" applyFont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3" fontId="1" fillId="5" borderId="17" xfId="0" applyNumberFormat="1" applyFont="1" applyFill="1" applyBorder="1" applyAlignment="1">
      <alignment horizontal="right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3" fontId="1" fillId="5" borderId="15" xfId="0" applyNumberFormat="1" applyFont="1" applyFill="1" applyBorder="1" applyAlignment="1">
      <alignment horizontal="right" vertical="center" wrapText="1"/>
    </xf>
    <xf numFmtId="178" fontId="1" fillId="5" borderId="25" xfId="0" applyNumberFormat="1" applyFont="1" applyFill="1" applyBorder="1" applyAlignment="1">
      <alignment horizontal="center" vertical="center" wrapText="1"/>
    </xf>
    <xf numFmtId="178" fontId="1" fillId="2" borderId="23" xfId="0" applyNumberFormat="1" applyFont="1" applyFill="1" applyBorder="1" applyAlignment="1">
      <alignment horizontal="center" vertical="center" wrapText="1"/>
    </xf>
    <xf numFmtId="180" fontId="0" fillId="0" borderId="26" xfId="0" applyNumberFormat="1" applyBorder="1" applyAlignment="1">
      <alignment horizontal="center" vertical="center"/>
    </xf>
    <xf numFmtId="3" fontId="0" fillId="5" borderId="9" xfId="0" applyNumberFormat="1" applyFill="1" applyBorder="1" applyAlignment="1">
      <alignment horizontal="right" vertical="center"/>
    </xf>
    <xf numFmtId="180" fontId="0" fillId="5" borderId="27" xfId="0" applyNumberFormat="1" applyFill="1" applyBorder="1"/>
    <xf numFmtId="180" fontId="0" fillId="0" borderId="0" xfId="0" applyNumberFormat="1"/>
    <xf numFmtId="180" fontId="0" fillId="5" borderId="28" xfId="0" applyNumberFormat="1" applyFill="1" applyBorder="1"/>
    <xf numFmtId="180" fontId="0" fillId="2" borderId="29" xfId="0" applyNumberFormat="1" applyFill="1" applyBorder="1" applyAlignment="1">
      <alignment horizontal="center" vertical="center"/>
    </xf>
    <xf numFmtId="3" fontId="0" fillId="5" borderId="13" xfId="0" applyNumberFormat="1" applyFill="1" applyBorder="1" applyAlignment="1">
      <alignment horizontal="right" vertical="center"/>
    </xf>
    <xf numFmtId="180" fontId="0" fillId="5" borderId="30" xfId="0" applyNumberFormat="1" applyFill="1" applyBorder="1"/>
    <xf numFmtId="180" fontId="0" fillId="2" borderId="23" xfId="0" applyNumberFormat="1" applyFill="1" applyBorder="1"/>
    <xf numFmtId="180" fontId="0" fillId="0" borderId="0" xfId="0" applyNumberFormat="1" applyAlignment="1">
      <alignment horizontal="center" vertical="center"/>
    </xf>
    <xf numFmtId="3" fontId="0" fillId="5" borderId="0" xfId="0" applyNumberFormat="1" applyFill="1" applyAlignment="1">
      <alignment horizontal="right" vertical="center"/>
    </xf>
    <xf numFmtId="180" fontId="0" fillId="5" borderId="0" xfId="0" applyNumberFormat="1" applyFill="1"/>
    <xf numFmtId="180" fontId="0" fillId="0" borderId="16" xfId="0" applyNumberFormat="1" applyBorder="1" applyAlignment="1">
      <alignment horizontal="center" vertical="center"/>
    </xf>
    <xf numFmtId="3" fontId="0" fillId="5" borderId="16" xfId="0" applyNumberFormat="1" applyFill="1" applyBorder="1" applyAlignment="1">
      <alignment horizontal="right" vertical="center"/>
    </xf>
    <xf numFmtId="180" fontId="0" fillId="5" borderId="25" xfId="0" applyNumberFormat="1" applyFill="1" applyBorder="1"/>
    <xf numFmtId="180" fontId="0" fillId="0" borderId="23" xfId="0" applyNumberFormat="1" applyBorder="1"/>
    <xf numFmtId="3" fontId="0" fillId="5" borderId="6" xfId="0" applyNumberFormat="1" applyFill="1" applyBorder="1" applyAlignment="1">
      <alignment horizontal="right"/>
    </xf>
    <xf numFmtId="180" fontId="0" fillId="5" borderId="6" xfId="0" applyNumberFormat="1" applyFill="1" applyBorder="1"/>
    <xf numFmtId="180" fontId="0" fillId="2" borderId="6" xfId="0" applyNumberFormat="1" applyFill="1" applyBorder="1"/>
    <xf numFmtId="181" fontId="0" fillId="5" borderId="6" xfId="3" applyNumberFormat="1" applyFont="1" applyFill="1" applyBorder="1"/>
    <xf numFmtId="181" fontId="0" fillId="2" borderId="6" xfId="3" applyNumberFormat="1" applyFont="1" applyFill="1" applyBorder="1"/>
    <xf numFmtId="180" fontId="0" fillId="2" borderId="6" xfId="3" applyNumberFormat="1" applyFont="1" applyFill="1" applyBorder="1"/>
    <xf numFmtId="181" fontId="0" fillId="4" borderId="6" xfId="3" applyNumberFormat="1" applyFont="1" applyFill="1" applyBorder="1"/>
    <xf numFmtId="180" fontId="0" fillId="0" borderId="0" xfId="2" applyNumberFormat="1" applyFont="1"/>
    <xf numFmtId="178" fontId="1" fillId="2" borderId="6" xfId="0" applyNumberFormat="1" applyFont="1" applyFill="1" applyBorder="1" applyAlignment="1">
      <alignment horizontal="center" vertical="center" wrapText="1"/>
    </xf>
    <xf numFmtId="180" fontId="0" fillId="0" borderId="6" xfId="0" applyNumberFormat="1" applyBorder="1"/>
    <xf numFmtId="180" fontId="0" fillId="0" borderId="6" xfId="2" applyNumberFormat="1" applyFont="1" applyBorder="1"/>
    <xf numFmtId="181" fontId="0" fillId="0" borderId="0" xfId="0" applyNumberFormat="1"/>
    <xf numFmtId="180" fontId="0" fillId="0" borderId="0" xfId="0" applyNumberFormat="1" applyFont="1"/>
    <xf numFmtId="180" fontId="0" fillId="0" borderId="6" xfId="0" applyNumberFormat="1" applyFont="1" applyBorder="1"/>
    <xf numFmtId="181" fontId="0" fillId="2" borderId="6" xfId="0" applyNumberFormat="1" applyFill="1" applyBorder="1"/>
    <xf numFmtId="181" fontId="0" fillId="4" borderId="6" xfId="0" applyNumberFormat="1" applyFill="1" applyBorder="1"/>
    <xf numFmtId="3" fontId="0" fillId="5" borderId="17" xfId="0" applyNumberFormat="1" applyFill="1" applyBorder="1" applyAlignment="1">
      <alignment horizontal="center" vertical="center"/>
    </xf>
    <xf numFmtId="3" fontId="0" fillId="5" borderId="31" xfId="0" applyNumberFormat="1" applyFill="1" applyBorder="1" applyAlignment="1">
      <alignment horizontal="center" vertical="center"/>
    </xf>
    <xf numFmtId="3" fontId="0" fillId="5" borderId="19" xfId="0" applyNumberFormat="1" applyFill="1" applyBorder="1" applyAlignment="1">
      <alignment horizontal="center" vertical="center"/>
    </xf>
    <xf numFmtId="3" fontId="0" fillId="5" borderId="32" xfId="0" applyNumberForma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3" fontId="0" fillId="5" borderId="18" xfId="0" applyNumberFormat="1" applyFill="1" applyBorder="1" applyAlignment="1">
      <alignment horizontal="center" vertical="center"/>
    </xf>
    <xf numFmtId="3" fontId="0" fillId="5" borderId="20" xfId="0" applyNumberFormat="1" applyFill="1" applyBorder="1" applyAlignment="1">
      <alignment horizontal="center" vertical="center"/>
    </xf>
    <xf numFmtId="3" fontId="1" fillId="5" borderId="35" xfId="0" applyNumberFormat="1" applyFont="1" applyFill="1" applyBorder="1" applyAlignment="1">
      <alignment horizontal="right" vertical="center" wrapText="1"/>
    </xf>
    <xf numFmtId="3" fontId="1" fillId="5" borderId="36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E6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Paper-Trading</a:t>
            </a:r>
            <a:r>
              <a:rPr lang="en-US" baseline="0"/>
              <a:t> Portfolios of Market-Neutral Logic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'paper-trading'!$B$1</c:f>
              <c:strCache>
                <c:ptCount val="1"/>
                <c:pt idx="0">
                  <c:v>MVE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'paper-trading'!$A$2:$A$43</c:f>
              <c:numCache>
                <c:formatCode>yyyy\-mm\-dd;@</c:formatCode>
                <c:ptCount val="42"/>
                <c:pt idx="0" c:formatCode="yyyy\-mm\-dd;@">
                  <c:v>45847</c:v>
                </c:pt>
                <c:pt idx="1" c:formatCode="yyyy\-mm\-dd;@">
                  <c:v>45848</c:v>
                </c:pt>
                <c:pt idx="2" c:formatCode="yyyy\-mm\-dd;@">
                  <c:v>45849</c:v>
                </c:pt>
                <c:pt idx="3" c:formatCode="yyyy\-mm\-dd;@">
                  <c:v>45852</c:v>
                </c:pt>
                <c:pt idx="4" c:formatCode="yyyy\-mm\-dd;@">
                  <c:v>45853</c:v>
                </c:pt>
                <c:pt idx="5" c:formatCode="yyyy\-mm\-dd;@">
                  <c:v>45854</c:v>
                </c:pt>
                <c:pt idx="6" c:formatCode="yyyy\-mm\-dd;@">
                  <c:v>45855</c:v>
                </c:pt>
                <c:pt idx="7" c:formatCode="yyyy\-mm\-dd;@">
                  <c:v>45856</c:v>
                </c:pt>
                <c:pt idx="8" c:formatCode="yyyy\-mm\-dd;@">
                  <c:v>45859</c:v>
                </c:pt>
                <c:pt idx="9" c:formatCode="yyyy\-mm\-dd;@">
                  <c:v>45860</c:v>
                </c:pt>
                <c:pt idx="10" c:formatCode="yyyy\-mm\-dd;@">
                  <c:v>45861</c:v>
                </c:pt>
                <c:pt idx="11" c:formatCode="yyyy\-mm\-dd;@">
                  <c:v>45862</c:v>
                </c:pt>
                <c:pt idx="12" c:formatCode="yyyy\-mm\-dd;@">
                  <c:v>45863</c:v>
                </c:pt>
                <c:pt idx="13" c:formatCode="yyyy\-mm\-dd;@">
                  <c:v>45866</c:v>
                </c:pt>
                <c:pt idx="14" c:formatCode="yyyy\-mm\-dd;@">
                  <c:v>45867</c:v>
                </c:pt>
                <c:pt idx="15" c:formatCode="yyyy\-mm\-dd;@">
                  <c:v>45868</c:v>
                </c:pt>
                <c:pt idx="16" c:formatCode="yyyy\-mm\-dd;@">
                  <c:v>45869</c:v>
                </c:pt>
                <c:pt idx="17" c:formatCode="yyyy\-mm\-dd;@">
                  <c:v>45870</c:v>
                </c:pt>
                <c:pt idx="18" c:formatCode="yyyy\-mm\-dd;@">
                  <c:v>45873</c:v>
                </c:pt>
                <c:pt idx="19" c:formatCode="yyyy\-mm\-dd;@">
                  <c:v>45874</c:v>
                </c:pt>
                <c:pt idx="20" c:formatCode="yyyy\-mm\-dd;@">
                  <c:v>45875</c:v>
                </c:pt>
                <c:pt idx="21" c:formatCode="yyyy\-mm\-dd;@">
                  <c:v>45876</c:v>
                </c:pt>
                <c:pt idx="22" c:formatCode="yyyy\-mm\-dd;@">
                  <c:v>45877</c:v>
                </c:pt>
                <c:pt idx="23" c:formatCode="yyyy\-mm\-dd;@">
                  <c:v>45880</c:v>
                </c:pt>
                <c:pt idx="24" c:formatCode="yyyy\-mm\-dd;@">
                  <c:v>45881</c:v>
                </c:pt>
                <c:pt idx="25" c:formatCode="yyyy\-mm\-dd;@">
                  <c:v>45882</c:v>
                </c:pt>
                <c:pt idx="26" c:formatCode="yyyy\-mm\-dd;@">
                  <c:v>45883</c:v>
                </c:pt>
                <c:pt idx="27" c:formatCode="yyyy\-mm\-dd;@">
                  <c:v>45884</c:v>
                </c:pt>
                <c:pt idx="28" c:formatCode="yyyy\-mm\-dd;@">
                  <c:v>45887</c:v>
                </c:pt>
                <c:pt idx="29" c:formatCode="yyyy\-mm\-dd;@">
                  <c:v>45888</c:v>
                </c:pt>
                <c:pt idx="30" c:formatCode="yyyy\-mm\-dd;@">
                  <c:v>45889</c:v>
                </c:pt>
                <c:pt idx="31" c:formatCode="yyyy\-mm\-dd;@">
                  <c:v>45890</c:v>
                </c:pt>
                <c:pt idx="32" c:formatCode="yyyy\-mm\-dd;@">
                  <c:v>45891</c:v>
                </c:pt>
                <c:pt idx="33" c:formatCode="yyyy\-mm\-dd;@">
                  <c:v>45894</c:v>
                </c:pt>
                <c:pt idx="34" c:formatCode="yyyy\-mm\-dd;@">
                  <c:v>45895</c:v>
                </c:pt>
                <c:pt idx="35" c:formatCode="yyyy\-mm\-dd;@">
                  <c:v>45896</c:v>
                </c:pt>
                <c:pt idx="36" c:formatCode="yyyy\-mm\-dd;@">
                  <c:v>45897</c:v>
                </c:pt>
                <c:pt idx="37" c:formatCode="yyyy\-mm\-dd;@">
                  <c:v>45898</c:v>
                </c:pt>
                <c:pt idx="38" c:formatCode="yyyy\-mm\-dd;@">
                  <c:v>45901</c:v>
                </c:pt>
                <c:pt idx="39" c:formatCode="yyyy\-mm\-dd;@">
                  <c:v>45902</c:v>
                </c:pt>
                <c:pt idx="40" c:formatCode="yyyy\-mm\-dd;@">
                  <c:v>45903</c:v>
                </c:pt>
                <c:pt idx="41" c:formatCode="yyyy\-mm\-dd;@">
                  <c:v>45904</c:v>
                </c:pt>
              </c:numCache>
            </c:numRef>
          </c:cat>
          <c:val>
            <c:numRef>
              <c:f>'paper-trading'!$B$2:$B$43</c:f>
              <c:numCache>
                <c:formatCode>0.00%</c:formatCode>
                <c:ptCount val="42"/>
                <c:pt idx="0">
                  <c:v>0</c:v>
                </c:pt>
                <c:pt idx="1">
                  <c:v>0.0020043333</c:v>
                </c:pt>
                <c:pt idx="2">
                  <c:v>0.002082784</c:v>
                </c:pt>
                <c:pt idx="3">
                  <c:v>0.00192786459999999</c:v>
                </c:pt>
                <c:pt idx="4">
                  <c:v>0.00263073279999998</c:v>
                </c:pt>
                <c:pt idx="5">
                  <c:v>0.00107827929999999</c:v>
                </c:pt>
                <c:pt idx="6">
                  <c:v>-0.0014854881</c:v>
                </c:pt>
                <c:pt idx="7">
                  <c:v>0.000112106399999995</c:v>
                </c:pt>
                <c:pt idx="8">
                  <c:v>-9.60852000000281e-5</c:v>
                </c:pt>
                <c:pt idx="9">
                  <c:v>0.00176746150000002</c:v>
                </c:pt>
                <c:pt idx="10">
                  <c:v>-0.00195203250000003</c:v>
                </c:pt>
                <c:pt idx="11">
                  <c:v>-0.00440708699999996</c:v>
                </c:pt>
                <c:pt idx="12">
                  <c:v>-0.00143848969999998</c:v>
                </c:pt>
                <c:pt idx="13">
                  <c:v>-0.00636790760000001</c:v>
                </c:pt>
                <c:pt idx="14">
                  <c:v>-0.00672432699999996</c:v>
                </c:pt>
                <c:pt idx="15">
                  <c:v>-0.0120009343</c:v>
                </c:pt>
                <c:pt idx="16">
                  <c:v>-0.00993122160000003</c:v>
                </c:pt>
                <c:pt idx="17">
                  <c:v>-0.0115954554</c:v>
                </c:pt>
                <c:pt idx="18">
                  <c:v>-0.0158112473</c:v>
                </c:pt>
                <c:pt idx="19">
                  <c:v>-0.0140978554</c:v>
                </c:pt>
                <c:pt idx="20">
                  <c:v>-0.0173322789</c:v>
                </c:pt>
                <c:pt idx="21">
                  <c:v>-0.0139622804</c:v>
                </c:pt>
                <c:pt idx="22">
                  <c:v>-0.0122252624</c:v>
                </c:pt>
                <c:pt idx="23">
                  <c:v>-0.0134359274000001</c:v>
                </c:pt>
                <c:pt idx="24">
                  <c:v>-0.0143748489</c:v>
                </c:pt>
                <c:pt idx="25">
                  <c:v>-0.0130036624</c:v>
                </c:pt>
                <c:pt idx="26">
                  <c:v>-0.0147282644</c:v>
                </c:pt>
                <c:pt idx="27">
                  <c:v>-0.0138282034</c:v>
                </c:pt>
                <c:pt idx="28">
                  <c:v>-0.0125377569</c:v>
                </c:pt>
                <c:pt idx="29">
                  <c:v>-0.0087221879</c:v>
                </c:pt>
                <c:pt idx="30">
                  <c:v>-0.00835745739999996</c:v>
                </c:pt>
                <c:pt idx="31">
                  <c:v>-0.0112233419</c:v>
                </c:pt>
                <c:pt idx="32">
                  <c:v>-0.00870511189999994</c:v>
                </c:pt>
                <c:pt idx="33">
                  <c:v>-0.00291283239999998</c:v>
                </c:pt>
                <c:pt idx="34">
                  <c:v>0.00296916809999994</c:v>
                </c:pt>
                <c:pt idx="35">
                  <c:v>0.00218338559999996</c:v>
                </c:pt>
                <c:pt idx="36">
                  <c:v>0.00363870509999996</c:v>
                </c:pt>
                <c:pt idx="37">
                  <c:v>0.00235238660000005</c:v>
                </c:pt>
                <c:pt idx="38">
                  <c:v>0.00338451710000005</c:v>
                </c:pt>
                <c:pt idx="39">
                  <c:v>0.0061960801</c:v>
                </c:pt>
                <c:pt idx="40">
                  <c:v>0.00801110359999999</c:v>
                </c:pt>
                <c:pt idx="41">
                  <c:v>0.00507157409999998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'paper-trading'!$C$1</c:f>
              <c:strCache>
                <c:ptCount val="1"/>
                <c:pt idx="0">
                  <c:v>IR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'paper-trading'!$A$2:$A$43</c:f>
              <c:numCache>
                <c:formatCode>yyyy\-mm\-dd;@</c:formatCode>
                <c:ptCount val="42"/>
                <c:pt idx="0" c:formatCode="yyyy\-mm\-dd;@">
                  <c:v>45847</c:v>
                </c:pt>
                <c:pt idx="1" c:formatCode="yyyy\-mm\-dd;@">
                  <c:v>45848</c:v>
                </c:pt>
                <c:pt idx="2" c:formatCode="yyyy\-mm\-dd;@">
                  <c:v>45849</c:v>
                </c:pt>
                <c:pt idx="3" c:formatCode="yyyy\-mm\-dd;@">
                  <c:v>45852</c:v>
                </c:pt>
                <c:pt idx="4" c:formatCode="yyyy\-mm\-dd;@">
                  <c:v>45853</c:v>
                </c:pt>
                <c:pt idx="5" c:formatCode="yyyy\-mm\-dd;@">
                  <c:v>45854</c:v>
                </c:pt>
                <c:pt idx="6" c:formatCode="yyyy\-mm\-dd;@">
                  <c:v>45855</c:v>
                </c:pt>
                <c:pt idx="7" c:formatCode="yyyy\-mm\-dd;@">
                  <c:v>45856</c:v>
                </c:pt>
                <c:pt idx="8" c:formatCode="yyyy\-mm\-dd;@">
                  <c:v>45859</c:v>
                </c:pt>
                <c:pt idx="9" c:formatCode="yyyy\-mm\-dd;@">
                  <c:v>45860</c:v>
                </c:pt>
                <c:pt idx="10" c:formatCode="yyyy\-mm\-dd;@">
                  <c:v>45861</c:v>
                </c:pt>
                <c:pt idx="11" c:formatCode="yyyy\-mm\-dd;@">
                  <c:v>45862</c:v>
                </c:pt>
                <c:pt idx="12" c:formatCode="yyyy\-mm\-dd;@">
                  <c:v>45863</c:v>
                </c:pt>
                <c:pt idx="13" c:formatCode="yyyy\-mm\-dd;@">
                  <c:v>45866</c:v>
                </c:pt>
                <c:pt idx="14" c:formatCode="yyyy\-mm\-dd;@">
                  <c:v>45867</c:v>
                </c:pt>
                <c:pt idx="15" c:formatCode="yyyy\-mm\-dd;@">
                  <c:v>45868</c:v>
                </c:pt>
                <c:pt idx="16" c:formatCode="yyyy\-mm\-dd;@">
                  <c:v>45869</c:v>
                </c:pt>
                <c:pt idx="17" c:formatCode="yyyy\-mm\-dd;@">
                  <c:v>45870</c:v>
                </c:pt>
                <c:pt idx="18" c:formatCode="yyyy\-mm\-dd;@">
                  <c:v>45873</c:v>
                </c:pt>
                <c:pt idx="19" c:formatCode="yyyy\-mm\-dd;@">
                  <c:v>45874</c:v>
                </c:pt>
                <c:pt idx="20" c:formatCode="yyyy\-mm\-dd;@">
                  <c:v>45875</c:v>
                </c:pt>
                <c:pt idx="21" c:formatCode="yyyy\-mm\-dd;@">
                  <c:v>45876</c:v>
                </c:pt>
                <c:pt idx="22" c:formatCode="yyyy\-mm\-dd;@">
                  <c:v>45877</c:v>
                </c:pt>
                <c:pt idx="23" c:formatCode="yyyy\-mm\-dd;@">
                  <c:v>45880</c:v>
                </c:pt>
                <c:pt idx="24" c:formatCode="yyyy\-mm\-dd;@">
                  <c:v>45881</c:v>
                </c:pt>
                <c:pt idx="25" c:formatCode="yyyy\-mm\-dd;@">
                  <c:v>45882</c:v>
                </c:pt>
                <c:pt idx="26" c:formatCode="yyyy\-mm\-dd;@">
                  <c:v>45883</c:v>
                </c:pt>
                <c:pt idx="27" c:formatCode="yyyy\-mm\-dd;@">
                  <c:v>45884</c:v>
                </c:pt>
                <c:pt idx="28" c:formatCode="yyyy\-mm\-dd;@">
                  <c:v>45887</c:v>
                </c:pt>
                <c:pt idx="29" c:formatCode="yyyy\-mm\-dd;@">
                  <c:v>45888</c:v>
                </c:pt>
                <c:pt idx="30" c:formatCode="yyyy\-mm\-dd;@">
                  <c:v>45889</c:v>
                </c:pt>
                <c:pt idx="31" c:formatCode="yyyy\-mm\-dd;@">
                  <c:v>45890</c:v>
                </c:pt>
                <c:pt idx="32" c:formatCode="yyyy\-mm\-dd;@">
                  <c:v>45891</c:v>
                </c:pt>
                <c:pt idx="33" c:formatCode="yyyy\-mm\-dd;@">
                  <c:v>45894</c:v>
                </c:pt>
                <c:pt idx="34" c:formatCode="yyyy\-mm\-dd;@">
                  <c:v>45895</c:v>
                </c:pt>
                <c:pt idx="35" c:formatCode="yyyy\-mm\-dd;@">
                  <c:v>45896</c:v>
                </c:pt>
                <c:pt idx="36" c:formatCode="yyyy\-mm\-dd;@">
                  <c:v>45897</c:v>
                </c:pt>
                <c:pt idx="37" c:formatCode="yyyy\-mm\-dd;@">
                  <c:v>45898</c:v>
                </c:pt>
                <c:pt idx="38" c:formatCode="yyyy\-mm\-dd;@">
                  <c:v>45901</c:v>
                </c:pt>
                <c:pt idx="39" c:formatCode="yyyy\-mm\-dd;@">
                  <c:v>45902</c:v>
                </c:pt>
                <c:pt idx="40" c:formatCode="yyyy\-mm\-dd;@">
                  <c:v>45903</c:v>
                </c:pt>
                <c:pt idx="41" c:formatCode="yyyy\-mm\-dd;@">
                  <c:v>45904</c:v>
                </c:pt>
              </c:numCache>
            </c:numRef>
          </c:cat>
          <c:val>
            <c:numRef>
              <c:f>'paper-trading'!$C$2:$C$43</c:f>
              <c:numCache>
                <c:formatCode>0.00%</c:formatCode>
                <c:ptCount val="42"/>
                <c:pt idx="0">
                  <c:v>0</c:v>
                </c:pt>
                <c:pt idx="1">
                  <c:v>0.00179637799999999</c:v>
                </c:pt>
                <c:pt idx="2">
                  <c:v>0.000348708999999999</c:v>
                </c:pt>
                <c:pt idx="3">
                  <c:v>-0.000867079000000008</c:v>
                </c:pt>
                <c:pt idx="4">
                  <c:v>0.00033052549999997</c:v>
                </c:pt>
                <c:pt idx="5">
                  <c:v>-0.000907504500000018</c:v>
                </c:pt>
                <c:pt idx="6">
                  <c:v>-0.002568704</c:v>
                </c:pt>
                <c:pt idx="7">
                  <c:v>-0.000805916000000011</c:v>
                </c:pt>
                <c:pt idx="8">
                  <c:v>-0.000794625500000039</c:v>
                </c:pt>
                <c:pt idx="9">
                  <c:v>0.00263221900000001</c:v>
                </c:pt>
                <c:pt idx="10">
                  <c:v>0.00227759149999995</c:v>
                </c:pt>
                <c:pt idx="11">
                  <c:v>0.00552129850000003</c:v>
                </c:pt>
                <c:pt idx="12">
                  <c:v>0.00989076200000001</c:v>
                </c:pt>
                <c:pt idx="13">
                  <c:v>0.00632283199999997</c:v>
                </c:pt>
                <c:pt idx="14">
                  <c:v>0.00641809250000003</c:v>
                </c:pt>
                <c:pt idx="15">
                  <c:v>0.00135555549999999</c:v>
                </c:pt>
                <c:pt idx="16">
                  <c:v>0.00418207099999996</c:v>
                </c:pt>
                <c:pt idx="17">
                  <c:v>0.000136227999999996</c:v>
                </c:pt>
                <c:pt idx="18">
                  <c:v>-0.00337978150000004</c:v>
                </c:pt>
                <c:pt idx="19">
                  <c:v>-0.00217988250000002</c:v>
                </c:pt>
                <c:pt idx="20">
                  <c:v>-0.00105182929999997</c:v>
                </c:pt>
                <c:pt idx="21">
                  <c:v>-0.00288024839999997</c:v>
                </c:pt>
                <c:pt idx="22">
                  <c:v>-0.0027377819</c:v>
                </c:pt>
                <c:pt idx="23">
                  <c:v>0.000417558299999937</c:v>
                </c:pt>
                <c:pt idx="24">
                  <c:v>-0.000273056000000007</c:v>
                </c:pt>
                <c:pt idx="25">
                  <c:v>-0.00115398340000005</c:v>
                </c:pt>
                <c:pt idx="26">
                  <c:v>-0.00214374000000002</c:v>
                </c:pt>
                <c:pt idx="27">
                  <c:v>-0.00109648249999999</c:v>
                </c:pt>
                <c:pt idx="28">
                  <c:v>-7.01514000000341e-5</c:v>
                </c:pt>
                <c:pt idx="29">
                  <c:v>-0.00403594400000001</c:v>
                </c:pt>
                <c:pt idx="30">
                  <c:v>-0.00288107429999999</c:v>
                </c:pt>
                <c:pt idx="31">
                  <c:v>-0.00285922220000001</c:v>
                </c:pt>
                <c:pt idx="32">
                  <c:v>-0.00191729739999996</c:v>
                </c:pt>
                <c:pt idx="33">
                  <c:v>-0.00180165360000001</c:v>
                </c:pt>
                <c:pt idx="34">
                  <c:v>-0.00292088910000007</c:v>
                </c:pt>
                <c:pt idx="35">
                  <c:v>-0.00599167980000006</c:v>
                </c:pt>
                <c:pt idx="36">
                  <c:v>-0.00670361920000005</c:v>
                </c:pt>
                <c:pt idx="37">
                  <c:v>-0.00409083299999996</c:v>
                </c:pt>
                <c:pt idx="38">
                  <c:v>-0.00326014169999997</c:v>
                </c:pt>
                <c:pt idx="39">
                  <c:v>-0.00560666520000002</c:v>
                </c:pt>
                <c:pt idx="40">
                  <c:v>-0.00708544710000002</c:v>
                </c:pt>
                <c:pt idx="41">
                  <c:v>-0.00444838030000002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'paper-trading'!$D$1</c:f>
              <c:strCache>
                <c:ptCount val="1"/>
                <c:pt idx="0">
                  <c:v>RP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'paper-trading'!$A$2:$A$43</c:f>
              <c:numCache>
                <c:formatCode>yyyy\-mm\-dd;@</c:formatCode>
                <c:ptCount val="42"/>
                <c:pt idx="0" c:formatCode="yyyy\-mm\-dd;@">
                  <c:v>45847</c:v>
                </c:pt>
                <c:pt idx="1" c:formatCode="yyyy\-mm\-dd;@">
                  <c:v>45848</c:v>
                </c:pt>
                <c:pt idx="2" c:formatCode="yyyy\-mm\-dd;@">
                  <c:v>45849</c:v>
                </c:pt>
                <c:pt idx="3" c:formatCode="yyyy\-mm\-dd;@">
                  <c:v>45852</c:v>
                </c:pt>
                <c:pt idx="4" c:formatCode="yyyy\-mm\-dd;@">
                  <c:v>45853</c:v>
                </c:pt>
                <c:pt idx="5" c:formatCode="yyyy\-mm\-dd;@">
                  <c:v>45854</c:v>
                </c:pt>
                <c:pt idx="6" c:formatCode="yyyy\-mm\-dd;@">
                  <c:v>45855</c:v>
                </c:pt>
                <c:pt idx="7" c:formatCode="yyyy\-mm\-dd;@">
                  <c:v>45856</c:v>
                </c:pt>
                <c:pt idx="8" c:formatCode="yyyy\-mm\-dd;@">
                  <c:v>45859</c:v>
                </c:pt>
                <c:pt idx="9" c:formatCode="yyyy\-mm\-dd;@">
                  <c:v>45860</c:v>
                </c:pt>
                <c:pt idx="10" c:formatCode="yyyy\-mm\-dd;@">
                  <c:v>45861</c:v>
                </c:pt>
                <c:pt idx="11" c:formatCode="yyyy\-mm\-dd;@">
                  <c:v>45862</c:v>
                </c:pt>
                <c:pt idx="12" c:formatCode="yyyy\-mm\-dd;@">
                  <c:v>45863</c:v>
                </c:pt>
                <c:pt idx="13" c:formatCode="yyyy\-mm\-dd;@">
                  <c:v>45866</c:v>
                </c:pt>
                <c:pt idx="14" c:formatCode="yyyy\-mm\-dd;@">
                  <c:v>45867</c:v>
                </c:pt>
                <c:pt idx="15" c:formatCode="yyyy\-mm\-dd;@">
                  <c:v>45868</c:v>
                </c:pt>
                <c:pt idx="16" c:formatCode="yyyy\-mm\-dd;@">
                  <c:v>45869</c:v>
                </c:pt>
                <c:pt idx="17" c:formatCode="yyyy\-mm\-dd;@">
                  <c:v>45870</c:v>
                </c:pt>
                <c:pt idx="18" c:formatCode="yyyy\-mm\-dd;@">
                  <c:v>45873</c:v>
                </c:pt>
                <c:pt idx="19" c:formatCode="yyyy\-mm\-dd;@">
                  <c:v>45874</c:v>
                </c:pt>
                <c:pt idx="20" c:formatCode="yyyy\-mm\-dd;@">
                  <c:v>45875</c:v>
                </c:pt>
                <c:pt idx="21" c:formatCode="yyyy\-mm\-dd;@">
                  <c:v>45876</c:v>
                </c:pt>
                <c:pt idx="22" c:formatCode="yyyy\-mm\-dd;@">
                  <c:v>45877</c:v>
                </c:pt>
                <c:pt idx="23" c:formatCode="yyyy\-mm\-dd;@">
                  <c:v>45880</c:v>
                </c:pt>
                <c:pt idx="24" c:formatCode="yyyy\-mm\-dd;@">
                  <c:v>45881</c:v>
                </c:pt>
                <c:pt idx="25" c:formatCode="yyyy\-mm\-dd;@">
                  <c:v>45882</c:v>
                </c:pt>
                <c:pt idx="26" c:formatCode="yyyy\-mm\-dd;@">
                  <c:v>45883</c:v>
                </c:pt>
                <c:pt idx="27" c:formatCode="yyyy\-mm\-dd;@">
                  <c:v>45884</c:v>
                </c:pt>
                <c:pt idx="28" c:formatCode="yyyy\-mm\-dd;@">
                  <c:v>45887</c:v>
                </c:pt>
                <c:pt idx="29" c:formatCode="yyyy\-mm\-dd;@">
                  <c:v>45888</c:v>
                </c:pt>
                <c:pt idx="30" c:formatCode="yyyy\-mm\-dd;@">
                  <c:v>45889</c:v>
                </c:pt>
                <c:pt idx="31" c:formatCode="yyyy\-mm\-dd;@">
                  <c:v>45890</c:v>
                </c:pt>
                <c:pt idx="32" c:formatCode="yyyy\-mm\-dd;@">
                  <c:v>45891</c:v>
                </c:pt>
                <c:pt idx="33" c:formatCode="yyyy\-mm\-dd;@">
                  <c:v>45894</c:v>
                </c:pt>
                <c:pt idx="34" c:formatCode="yyyy\-mm\-dd;@">
                  <c:v>45895</c:v>
                </c:pt>
                <c:pt idx="35" c:formatCode="yyyy\-mm\-dd;@">
                  <c:v>45896</c:v>
                </c:pt>
                <c:pt idx="36" c:formatCode="yyyy\-mm\-dd;@">
                  <c:v>45897</c:v>
                </c:pt>
                <c:pt idx="37" c:formatCode="yyyy\-mm\-dd;@">
                  <c:v>45898</c:v>
                </c:pt>
                <c:pt idx="38" c:formatCode="yyyy\-mm\-dd;@">
                  <c:v>45901</c:v>
                </c:pt>
                <c:pt idx="39" c:formatCode="yyyy\-mm\-dd;@">
                  <c:v>45902</c:v>
                </c:pt>
                <c:pt idx="40" c:formatCode="yyyy\-mm\-dd;@">
                  <c:v>45903</c:v>
                </c:pt>
                <c:pt idx="41" c:formatCode="yyyy\-mm\-dd;@">
                  <c:v>45904</c:v>
                </c:pt>
              </c:numCache>
            </c:numRef>
          </c:cat>
          <c:val>
            <c:numRef>
              <c:f>'paper-trading'!$D$2:$D$43</c:f>
              <c:numCache>
                <c:formatCode>0.00%</c:formatCode>
                <c:ptCount val="42"/>
                <c:pt idx="0">
                  <c:v>0</c:v>
                </c:pt>
                <c:pt idx="1">
                  <c:v>0.000959065000000006</c:v>
                </c:pt>
                <c:pt idx="2">
                  <c:v>0.000717278000000005</c:v>
                </c:pt>
                <c:pt idx="3">
                  <c:v>0.001936132</c:v>
                </c:pt>
                <c:pt idx="4">
                  <c:v>0.00243104299999998</c:v>
                </c:pt>
                <c:pt idx="5">
                  <c:v>-0.00211892000000002</c:v>
                </c:pt>
                <c:pt idx="6">
                  <c:v>-0.00646587949999999</c:v>
                </c:pt>
                <c:pt idx="7">
                  <c:v>-0.0034761045</c:v>
                </c:pt>
                <c:pt idx="8">
                  <c:v>-0.00234509150000004</c:v>
                </c:pt>
                <c:pt idx="9">
                  <c:v>0.00322445950000002</c:v>
                </c:pt>
                <c:pt idx="10">
                  <c:v>-0.00136996600000003</c:v>
                </c:pt>
                <c:pt idx="11">
                  <c:v>-0.000621106999999966</c:v>
                </c:pt>
                <c:pt idx="12">
                  <c:v>0.00260180550000001</c:v>
                </c:pt>
                <c:pt idx="13">
                  <c:v>-0.00229896400000001</c:v>
                </c:pt>
                <c:pt idx="14">
                  <c:v>-0.00451890849999997</c:v>
                </c:pt>
                <c:pt idx="15">
                  <c:v>-0.00562709500000001</c:v>
                </c:pt>
                <c:pt idx="16">
                  <c:v>-0.00544141100000003</c:v>
                </c:pt>
                <c:pt idx="17">
                  <c:v>0.000505084000000013</c:v>
                </c:pt>
                <c:pt idx="18">
                  <c:v>-0.00487672050000003</c:v>
                </c:pt>
                <c:pt idx="19">
                  <c:v>-0.00303540850000001</c:v>
                </c:pt>
                <c:pt idx="20">
                  <c:v>-0.00327084479999998</c:v>
                </c:pt>
                <c:pt idx="21">
                  <c:v>-0.00214951339999997</c:v>
                </c:pt>
                <c:pt idx="22">
                  <c:v>-0.000679129399999998</c:v>
                </c:pt>
                <c:pt idx="23">
                  <c:v>0.000183441299999935</c:v>
                </c:pt>
                <c:pt idx="24">
                  <c:v>-0.00279318000000001</c:v>
                </c:pt>
                <c:pt idx="25">
                  <c:v>-0.00185058490000005</c:v>
                </c:pt>
                <c:pt idx="26">
                  <c:v>-0.00419804150000001</c:v>
                </c:pt>
                <c:pt idx="27">
                  <c:v>-0.00374829249999999</c:v>
                </c:pt>
                <c:pt idx="28">
                  <c:v>-0.00268836690000003</c:v>
                </c:pt>
                <c:pt idx="29">
                  <c:v>-0.00307414400000001</c:v>
                </c:pt>
                <c:pt idx="30">
                  <c:v>-0.000107393299999981</c:v>
                </c:pt>
                <c:pt idx="31">
                  <c:v>-0.0018595482</c:v>
                </c:pt>
                <c:pt idx="32">
                  <c:v>-0.000671770899999962</c:v>
                </c:pt>
                <c:pt idx="33">
                  <c:v>1.27879000000015e-5</c:v>
                </c:pt>
                <c:pt idx="34">
                  <c:v>-0.00105480010000006</c:v>
                </c:pt>
                <c:pt idx="35">
                  <c:v>-0.00491182780000006</c:v>
                </c:pt>
                <c:pt idx="36">
                  <c:v>-0.00580466620000005</c:v>
                </c:pt>
                <c:pt idx="37">
                  <c:v>-0.00523195049999996</c:v>
                </c:pt>
                <c:pt idx="38">
                  <c:v>-0.00573361869999996</c:v>
                </c:pt>
                <c:pt idx="39">
                  <c:v>-0.00844776220000002</c:v>
                </c:pt>
                <c:pt idx="40">
                  <c:v>-0.0107438986</c:v>
                </c:pt>
                <c:pt idx="41">
                  <c:v>-0.00664080530000003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9051599"/>
        <c:axId val="889053311"/>
      </c:lineChart>
      <c:dateAx>
        <c:axId val="889051599"/>
        <c:scaling>
          <c:orientation val="minMax"/>
        </c:scaling>
        <c:delete val="0"/>
        <c:axPos val="b"/>
        <c:numFmt formatCode="mmm\-d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89053311"/>
        <c:crosses val="autoZero"/>
        <c:auto val="0"/>
        <c:lblOffset val="100"/>
        <c:baseTimeUnit val="days"/>
        <c:majorUnit val="5"/>
        <c:majorTimeUnit val="days"/>
      </c:dateAx>
      <c:valAx>
        <c:axId val="88905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890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ffcb0c-83ae-47ae-b1d5-ed4ef3e7774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Seperate</a:t>
            </a:r>
            <a:r>
              <a:rPr lang="en-US" baseline="0"/>
              <a:t> Long-Short Performance Attribution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attribution!$B$1</c:f>
              <c:strCache>
                <c:ptCount val="1"/>
                <c:pt idx="0">
                  <c:v>MVE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attribution!$A$2:$A$43</c:f>
              <c:numCache>
                <c:formatCode>yyyy\-mm\-dd;@</c:formatCode>
                <c:ptCount val="42"/>
                <c:pt idx="0" c:formatCode="yyyy\-mm\-dd;@">
                  <c:v>45847</c:v>
                </c:pt>
                <c:pt idx="1" c:formatCode="yyyy\-mm\-dd;@">
                  <c:v>45848</c:v>
                </c:pt>
                <c:pt idx="2" c:formatCode="yyyy\-mm\-dd;@">
                  <c:v>45849</c:v>
                </c:pt>
                <c:pt idx="3" c:formatCode="yyyy\-mm\-dd;@">
                  <c:v>45852</c:v>
                </c:pt>
                <c:pt idx="4" c:formatCode="yyyy\-mm\-dd;@">
                  <c:v>45853</c:v>
                </c:pt>
                <c:pt idx="5" c:formatCode="yyyy\-mm\-dd;@">
                  <c:v>45854</c:v>
                </c:pt>
                <c:pt idx="6" c:formatCode="yyyy\-mm\-dd;@">
                  <c:v>45855</c:v>
                </c:pt>
                <c:pt idx="7" c:formatCode="yyyy\-mm\-dd;@">
                  <c:v>45856</c:v>
                </c:pt>
                <c:pt idx="8" c:formatCode="yyyy\-mm\-dd;@">
                  <c:v>45859</c:v>
                </c:pt>
                <c:pt idx="9" c:formatCode="yyyy\-mm\-dd;@">
                  <c:v>45860</c:v>
                </c:pt>
                <c:pt idx="10" c:formatCode="yyyy\-mm\-dd;@">
                  <c:v>45861</c:v>
                </c:pt>
                <c:pt idx="11" c:formatCode="yyyy\-mm\-dd;@">
                  <c:v>45862</c:v>
                </c:pt>
                <c:pt idx="12" c:formatCode="yyyy\-mm\-dd;@">
                  <c:v>45863</c:v>
                </c:pt>
                <c:pt idx="13" c:formatCode="yyyy\-mm\-dd;@">
                  <c:v>45866</c:v>
                </c:pt>
                <c:pt idx="14" c:formatCode="yyyy\-mm\-dd;@">
                  <c:v>45867</c:v>
                </c:pt>
                <c:pt idx="15" c:formatCode="yyyy\-mm\-dd;@">
                  <c:v>45868</c:v>
                </c:pt>
                <c:pt idx="16" c:formatCode="yyyy\-mm\-dd;@">
                  <c:v>45869</c:v>
                </c:pt>
                <c:pt idx="17" c:formatCode="yyyy\-mm\-dd;@">
                  <c:v>45870</c:v>
                </c:pt>
                <c:pt idx="18" c:formatCode="yyyy\-mm\-dd;@">
                  <c:v>45873</c:v>
                </c:pt>
                <c:pt idx="19" c:formatCode="yyyy\-mm\-dd;@">
                  <c:v>45874</c:v>
                </c:pt>
                <c:pt idx="20" c:formatCode="yyyy\-mm\-dd;@">
                  <c:v>45875</c:v>
                </c:pt>
                <c:pt idx="21" c:formatCode="yyyy\-mm\-dd;@">
                  <c:v>45876</c:v>
                </c:pt>
                <c:pt idx="22" c:formatCode="yyyy\-mm\-dd;@">
                  <c:v>45877</c:v>
                </c:pt>
                <c:pt idx="23" c:formatCode="yyyy\-mm\-dd;@">
                  <c:v>45880</c:v>
                </c:pt>
                <c:pt idx="24" c:formatCode="yyyy\-mm\-dd;@">
                  <c:v>45881</c:v>
                </c:pt>
                <c:pt idx="25" c:formatCode="yyyy\-mm\-dd;@">
                  <c:v>45882</c:v>
                </c:pt>
                <c:pt idx="26" c:formatCode="yyyy\-mm\-dd;@">
                  <c:v>45883</c:v>
                </c:pt>
                <c:pt idx="27" c:formatCode="yyyy\-mm\-dd;@">
                  <c:v>45884</c:v>
                </c:pt>
                <c:pt idx="28" c:formatCode="yyyy\-mm\-dd;@">
                  <c:v>45887</c:v>
                </c:pt>
                <c:pt idx="29" c:formatCode="yyyy\-mm\-dd;@">
                  <c:v>45888</c:v>
                </c:pt>
                <c:pt idx="30" c:formatCode="yyyy\-mm\-dd;@">
                  <c:v>45889</c:v>
                </c:pt>
                <c:pt idx="31" c:formatCode="yyyy\-mm\-dd;@">
                  <c:v>45890</c:v>
                </c:pt>
                <c:pt idx="32" c:formatCode="yyyy\-mm\-dd;@">
                  <c:v>45891</c:v>
                </c:pt>
                <c:pt idx="33" c:formatCode="yyyy\-mm\-dd;@">
                  <c:v>45894</c:v>
                </c:pt>
                <c:pt idx="34" c:formatCode="yyyy\-mm\-dd;@">
                  <c:v>45895</c:v>
                </c:pt>
                <c:pt idx="35" c:formatCode="yyyy\-mm\-dd;@">
                  <c:v>45896</c:v>
                </c:pt>
                <c:pt idx="36" c:formatCode="yyyy\-mm\-dd;@">
                  <c:v>45897</c:v>
                </c:pt>
                <c:pt idx="37" c:formatCode="yyyy\-mm\-dd;@">
                  <c:v>45898</c:v>
                </c:pt>
                <c:pt idx="38" c:formatCode="yyyy\-mm\-dd;@">
                  <c:v>45901</c:v>
                </c:pt>
                <c:pt idx="39" c:formatCode="yyyy\-mm\-dd;@">
                  <c:v>45902</c:v>
                </c:pt>
                <c:pt idx="40" c:formatCode="yyyy\-mm\-dd;@">
                  <c:v>45903</c:v>
                </c:pt>
                <c:pt idx="41" c:formatCode="yyyy\-mm\-dd;@">
                  <c:v>45904</c:v>
                </c:pt>
              </c:numCache>
            </c:numRef>
          </c:cat>
          <c:val>
            <c:numRef>
              <c:f>attribution!$B$2:$B$43</c:f>
              <c:numCache>
                <c:formatCode>0.00%</c:formatCode>
                <c:ptCount val="42"/>
                <c:pt idx="0">
                  <c:v>0</c:v>
                </c:pt>
                <c:pt idx="1">
                  <c:v>0.0050232843</c:v>
                </c:pt>
                <c:pt idx="2">
                  <c:v>-0.00415688900000001</c:v>
                </c:pt>
                <c:pt idx="3">
                  <c:v>-0.00699193640000001</c:v>
                </c:pt>
                <c:pt idx="4">
                  <c:v>-0.0116137922</c:v>
                </c:pt>
                <c:pt idx="5">
                  <c:v>-0.0187650737</c:v>
                </c:pt>
                <c:pt idx="6">
                  <c:v>-0.0086502621</c:v>
                </c:pt>
                <c:pt idx="7">
                  <c:v>-0.0069676446</c:v>
                </c:pt>
                <c:pt idx="8">
                  <c:v>-0.0102785412</c:v>
                </c:pt>
                <c:pt idx="9">
                  <c:v>-0.0152434835</c:v>
                </c:pt>
                <c:pt idx="10">
                  <c:v>-0.0055090395</c:v>
                </c:pt>
                <c:pt idx="11">
                  <c:v>-0.012043929</c:v>
                </c:pt>
                <c:pt idx="12">
                  <c:v>-0.00700686169999999</c:v>
                </c:pt>
                <c:pt idx="13">
                  <c:v>-0.0162128096</c:v>
                </c:pt>
                <c:pt idx="14">
                  <c:v>-0.00940191700000001</c:v>
                </c:pt>
                <c:pt idx="15">
                  <c:v>-0.0140947843</c:v>
                </c:pt>
                <c:pt idx="16">
                  <c:v>-0.0234448026</c:v>
                </c:pt>
                <c:pt idx="17">
                  <c:v>-0.0537643254</c:v>
                </c:pt>
                <c:pt idx="18">
                  <c:v>-0.0470857523</c:v>
                </c:pt>
                <c:pt idx="19">
                  <c:v>-0.0467644534</c:v>
                </c:pt>
                <c:pt idx="20">
                  <c:v>-0.0481661869</c:v>
                </c:pt>
                <c:pt idx="21">
                  <c:v>-0.0350641984</c:v>
                </c:pt>
                <c:pt idx="22">
                  <c:v>-0.0289151004</c:v>
                </c:pt>
                <c:pt idx="23">
                  <c:v>-0.0359526454</c:v>
                </c:pt>
                <c:pt idx="24">
                  <c:v>-0.0296996669</c:v>
                </c:pt>
                <c:pt idx="25">
                  <c:v>-0.0215754304</c:v>
                </c:pt>
                <c:pt idx="26">
                  <c:v>-0.0147365624</c:v>
                </c:pt>
                <c:pt idx="27">
                  <c:v>-0.0068790914</c:v>
                </c:pt>
                <c:pt idx="28">
                  <c:v>-0.0107500449</c:v>
                </c:pt>
                <c:pt idx="29">
                  <c:v>0.00551445409999999</c:v>
                </c:pt>
                <c:pt idx="30">
                  <c:v>0.0050866346</c:v>
                </c:pt>
                <c:pt idx="31">
                  <c:v>-0.0023301899</c:v>
                </c:pt>
                <c:pt idx="32">
                  <c:v>0.00430144010000001</c:v>
                </c:pt>
                <c:pt idx="33">
                  <c:v>-0.00649743039999999</c:v>
                </c:pt>
                <c:pt idx="34">
                  <c:v>-0.0180685599</c:v>
                </c:pt>
                <c:pt idx="35">
                  <c:v>-0.0143846224</c:v>
                </c:pt>
                <c:pt idx="36">
                  <c:v>-0.0104835329</c:v>
                </c:pt>
                <c:pt idx="37">
                  <c:v>-0.0194595514</c:v>
                </c:pt>
                <c:pt idx="38">
                  <c:v>-0.0179034209</c:v>
                </c:pt>
                <c:pt idx="39">
                  <c:v>-0.0221200079</c:v>
                </c:pt>
                <c:pt idx="40">
                  <c:v>-0.0117297244</c:v>
                </c:pt>
                <c:pt idx="41">
                  <c:v>-0.0173927439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attribution!$C$1</c:f>
              <c:strCache>
                <c:ptCount val="1"/>
                <c:pt idx="0">
                  <c:v>IR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attribution!$A$2:$A$43</c:f>
              <c:numCache>
                <c:formatCode>yyyy\-mm\-dd;@</c:formatCode>
                <c:ptCount val="42"/>
                <c:pt idx="0" c:formatCode="yyyy\-mm\-dd;@">
                  <c:v>45847</c:v>
                </c:pt>
                <c:pt idx="1" c:formatCode="yyyy\-mm\-dd;@">
                  <c:v>45848</c:v>
                </c:pt>
                <c:pt idx="2" c:formatCode="yyyy\-mm\-dd;@">
                  <c:v>45849</c:v>
                </c:pt>
                <c:pt idx="3" c:formatCode="yyyy\-mm\-dd;@">
                  <c:v>45852</c:v>
                </c:pt>
                <c:pt idx="4" c:formatCode="yyyy\-mm\-dd;@">
                  <c:v>45853</c:v>
                </c:pt>
                <c:pt idx="5" c:formatCode="yyyy\-mm\-dd;@">
                  <c:v>45854</c:v>
                </c:pt>
                <c:pt idx="6" c:formatCode="yyyy\-mm\-dd;@">
                  <c:v>45855</c:v>
                </c:pt>
                <c:pt idx="7" c:formatCode="yyyy\-mm\-dd;@">
                  <c:v>45856</c:v>
                </c:pt>
                <c:pt idx="8" c:formatCode="yyyy\-mm\-dd;@">
                  <c:v>45859</c:v>
                </c:pt>
                <c:pt idx="9" c:formatCode="yyyy\-mm\-dd;@">
                  <c:v>45860</c:v>
                </c:pt>
                <c:pt idx="10" c:formatCode="yyyy\-mm\-dd;@">
                  <c:v>45861</c:v>
                </c:pt>
                <c:pt idx="11" c:formatCode="yyyy\-mm\-dd;@">
                  <c:v>45862</c:v>
                </c:pt>
                <c:pt idx="12" c:formatCode="yyyy\-mm\-dd;@">
                  <c:v>45863</c:v>
                </c:pt>
                <c:pt idx="13" c:formatCode="yyyy\-mm\-dd;@">
                  <c:v>45866</c:v>
                </c:pt>
                <c:pt idx="14" c:formatCode="yyyy\-mm\-dd;@">
                  <c:v>45867</c:v>
                </c:pt>
                <c:pt idx="15" c:formatCode="yyyy\-mm\-dd;@">
                  <c:v>45868</c:v>
                </c:pt>
                <c:pt idx="16" c:formatCode="yyyy\-mm\-dd;@">
                  <c:v>45869</c:v>
                </c:pt>
                <c:pt idx="17" c:formatCode="yyyy\-mm\-dd;@">
                  <c:v>45870</c:v>
                </c:pt>
                <c:pt idx="18" c:formatCode="yyyy\-mm\-dd;@">
                  <c:v>45873</c:v>
                </c:pt>
                <c:pt idx="19" c:formatCode="yyyy\-mm\-dd;@">
                  <c:v>45874</c:v>
                </c:pt>
                <c:pt idx="20" c:formatCode="yyyy\-mm\-dd;@">
                  <c:v>45875</c:v>
                </c:pt>
                <c:pt idx="21" c:formatCode="yyyy\-mm\-dd;@">
                  <c:v>45876</c:v>
                </c:pt>
                <c:pt idx="22" c:formatCode="yyyy\-mm\-dd;@">
                  <c:v>45877</c:v>
                </c:pt>
                <c:pt idx="23" c:formatCode="yyyy\-mm\-dd;@">
                  <c:v>45880</c:v>
                </c:pt>
                <c:pt idx="24" c:formatCode="yyyy\-mm\-dd;@">
                  <c:v>45881</c:v>
                </c:pt>
                <c:pt idx="25" c:formatCode="yyyy\-mm\-dd;@">
                  <c:v>45882</c:v>
                </c:pt>
                <c:pt idx="26" c:formatCode="yyyy\-mm\-dd;@">
                  <c:v>45883</c:v>
                </c:pt>
                <c:pt idx="27" c:formatCode="yyyy\-mm\-dd;@">
                  <c:v>45884</c:v>
                </c:pt>
                <c:pt idx="28" c:formatCode="yyyy\-mm\-dd;@">
                  <c:v>45887</c:v>
                </c:pt>
                <c:pt idx="29" c:formatCode="yyyy\-mm\-dd;@">
                  <c:v>45888</c:v>
                </c:pt>
                <c:pt idx="30" c:formatCode="yyyy\-mm\-dd;@">
                  <c:v>45889</c:v>
                </c:pt>
                <c:pt idx="31" c:formatCode="yyyy\-mm\-dd;@">
                  <c:v>45890</c:v>
                </c:pt>
                <c:pt idx="32" c:formatCode="yyyy\-mm\-dd;@">
                  <c:v>45891</c:v>
                </c:pt>
                <c:pt idx="33" c:formatCode="yyyy\-mm\-dd;@">
                  <c:v>45894</c:v>
                </c:pt>
                <c:pt idx="34" c:formatCode="yyyy\-mm\-dd;@">
                  <c:v>45895</c:v>
                </c:pt>
                <c:pt idx="35" c:formatCode="yyyy\-mm\-dd;@">
                  <c:v>45896</c:v>
                </c:pt>
                <c:pt idx="36" c:formatCode="yyyy\-mm\-dd;@">
                  <c:v>45897</c:v>
                </c:pt>
                <c:pt idx="37" c:formatCode="yyyy\-mm\-dd;@">
                  <c:v>45898</c:v>
                </c:pt>
                <c:pt idx="38" c:formatCode="yyyy\-mm\-dd;@">
                  <c:v>45901</c:v>
                </c:pt>
                <c:pt idx="39" c:formatCode="yyyy\-mm\-dd;@">
                  <c:v>45902</c:v>
                </c:pt>
                <c:pt idx="40" c:formatCode="yyyy\-mm\-dd;@">
                  <c:v>45903</c:v>
                </c:pt>
                <c:pt idx="41" c:formatCode="yyyy\-mm\-dd;@">
                  <c:v>45904</c:v>
                </c:pt>
              </c:numCache>
            </c:numRef>
          </c:cat>
          <c:val>
            <c:numRef>
              <c:f>attribution!$C$2:$C$43</c:f>
              <c:numCache>
                <c:formatCode>0.00%</c:formatCode>
                <c:ptCount val="42"/>
                <c:pt idx="0">
                  <c:v>0</c:v>
                </c:pt>
                <c:pt idx="1">
                  <c:v>0.00481532899999999</c:v>
                </c:pt>
                <c:pt idx="2">
                  <c:v>-0.00589096400000001</c:v>
                </c:pt>
                <c:pt idx="3">
                  <c:v>-0.00978688</c:v>
                </c:pt>
                <c:pt idx="4">
                  <c:v>-0.0139139995</c:v>
                </c:pt>
                <c:pt idx="5">
                  <c:v>-0.0207508575</c:v>
                </c:pt>
                <c:pt idx="6">
                  <c:v>-0.00973347800000001</c:v>
                </c:pt>
                <c:pt idx="7">
                  <c:v>-0.007885667</c:v>
                </c:pt>
                <c:pt idx="8">
                  <c:v>-0.0109770815</c:v>
                </c:pt>
                <c:pt idx="9">
                  <c:v>-0.014378726</c:v>
                </c:pt>
                <c:pt idx="10">
                  <c:v>-0.00127941550000001</c:v>
                </c:pt>
                <c:pt idx="11">
                  <c:v>-0.00211554350000001</c:v>
                </c:pt>
                <c:pt idx="12">
                  <c:v>0.00432238999999999</c:v>
                </c:pt>
                <c:pt idx="13">
                  <c:v>-0.00352207000000002</c:v>
                </c:pt>
                <c:pt idx="14">
                  <c:v>0.00374050249999998</c:v>
                </c:pt>
                <c:pt idx="15">
                  <c:v>-0.00073829450000001</c:v>
                </c:pt>
                <c:pt idx="16">
                  <c:v>-0.00933151000000001</c:v>
                </c:pt>
                <c:pt idx="17">
                  <c:v>-0.042032642</c:v>
                </c:pt>
                <c:pt idx="18">
                  <c:v>-0.0346542865</c:v>
                </c:pt>
                <c:pt idx="19">
                  <c:v>-0.0348464805</c:v>
                </c:pt>
                <c:pt idx="20">
                  <c:v>-0.0318857373</c:v>
                </c:pt>
                <c:pt idx="21">
                  <c:v>-0.0239821664</c:v>
                </c:pt>
                <c:pt idx="22">
                  <c:v>-0.0194276199</c:v>
                </c:pt>
                <c:pt idx="23">
                  <c:v>-0.0220991597</c:v>
                </c:pt>
                <c:pt idx="24">
                  <c:v>-0.015597874</c:v>
                </c:pt>
                <c:pt idx="25">
                  <c:v>-0.00972575140000001</c:v>
                </c:pt>
                <c:pt idx="26">
                  <c:v>-0.002152038</c:v>
                </c:pt>
                <c:pt idx="27">
                  <c:v>0.00585262949999998</c:v>
                </c:pt>
                <c:pt idx="28">
                  <c:v>0.00171756059999999</c:v>
                </c:pt>
                <c:pt idx="29">
                  <c:v>0.010200698</c:v>
                </c:pt>
                <c:pt idx="30">
                  <c:v>0.0105630177</c:v>
                </c:pt>
                <c:pt idx="31">
                  <c:v>0.00603392979999998</c:v>
                </c:pt>
                <c:pt idx="32">
                  <c:v>0.0110892546</c:v>
                </c:pt>
                <c:pt idx="33">
                  <c:v>-0.00538625160000001</c:v>
                </c:pt>
                <c:pt idx="34">
                  <c:v>-0.0239586171</c:v>
                </c:pt>
                <c:pt idx="35">
                  <c:v>-0.0225596878</c:v>
                </c:pt>
                <c:pt idx="36">
                  <c:v>-0.0208258572</c:v>
                </c:pt>
                <c:pt idx="37">
                  <c:v>-0.025902771</c:v>
                </c:pt>
                <c:pt idx="38">
                  <c:v>-0.0245480797</c:v>
                </c:pt>
                <c:pt idx="39">
                  <c:v>-0.0339227532</c:v>
                </c:pt>
                <c:pt idx="40">
                  <c:v>-0.0268262751</c:v>
                </c:pt>
                <c:pt idx="41">
                  <c:v>-0.0269126983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attribution!$D$1</c:f>
              <c:strCache>
                <c:ptCount val="1"/>
                <c:pt idx="0">
                  <c:v>RP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attribution!$A$2:$A$43</c:f>
              <c:numCache>
                <c:formatCode>yyyy\-mm\-dd;@</c:formatCode>
                <c:ptCount val="42"/>
                <c:pt idx="0" c:formatCode="yyyy\-mm\-dd;@">
                  <c:v>45847</c:v>
                </c:pt>
                <c:pt idx="1" c:formatCode="yyyy\-mm\-dd;@">
                  <c:v>45848</c:v>
                </c:pt>
                <c:pt idx="2" c:formatCode="yyyy\-mm\-dd;@">
                  <c:v>45849</c:v>
                </c:pt>
                <c:pt idx="3" c:formatCode="yyyy\-mm\-dd;@">
                  <c:v>45852</c:v>
                </c:pt>
                <c:pt idx="4" c:formatCode="yyyy\-mm\-dd;@">
                  <c:v>45853</c:v>
                </c:pt>
                <c:pt idx="5" c:formatCode="yyyy\-mm\-dd;@">
                  <c:v>45854</c:v>
                </c:pt>
                <c:pt idx="6" c:formatCode="yyyy\-mm\-dd;@">
                  <c:v>45855</c:v>
                </c:pt>
                <c:pt idx="7" c:formatCode="yyyy\-mm\-dd;@">
                  <c:v>45856</c:v>
                </c:pt>
                <c:pt idx="8" c:formatCode="yyyy\-mm\-dd;@">
                  <c:v>45859</c:v>
                </c:pt>
                <c:pt idx="9" c:formatCode="yyyy\-mm\-dd;@">
                  <c:v>45860</c:v>
                </c:pt>
                <c:pt idx="10" c:formatCode="yyyy\-mm\-dd;@">
                  <c:v>45861</c:v>
                </c:pt>
                <c:pt idx="11" c:formatCode="yyyy\-mm\-dd;@">
                  <c:v>45862</c:v>
                </c:pt>
                <c:pt idx="12" c:formatCode="yyyy\-mm\-dd;@">
                  <c:v>45863</c:v>
                </c:pt>
                <c:pt idx="13" c:formatCode="yyyy\-mm\-dd;@">
                  <c:v>45866</c:v>
                </c:pt>
                <c:pt idx="14" c:formatCode="yyyy\-mm\-dd;@">
                  <c:v>45867</c:v>
                </c:pt>
                <c:pt idx="15" c:formatCode="yyyy\-mm\-dd;@">
                  <c:v>45868</c:v>
                </c:pt>
                <c:pt idx="16" c:formatCode="yyyy\-mm\-dd;@">
                  <c:v>45869</c:v>
                </c:pt>
                <c:pt idx="17" c:formatCode="yyyy\-mm\-dd;@">
                  <c:v>45870</c:v>
                </c:pt>
                <c:pt idx="18" c:formatCode="yyyy\-mm\-dd;@">
                  <c:v>45873</c:v>
                </c:pt>
                <c:pt idx="19" c:formatCode="yyyy\-mm\-dd;@">
                  <c:v>45874</c:v>
                </c:pt>
                <c:pt idx="20" c:formatCode="yyyy\-mm\-dd;@">
                  <c:v>45875</c:v>
                </c:pt>
                <c:pt idx="21" c:formatCode="yyyy\-mm\-dd;@">
                  <c:v>45876</c:v>
                </c:pt>
                <c:pt idx="22" c:formatCode="yyyy\-mm\-dd;@">
                  <c:v>45877</c:v>
                </c:pt>
                <c:pt idx="23" c:formatCode="yyyy\-mm\-dd;@">
                  <c:v>45880</c:v>
                </c:pt>
                <c:pt idx="24" c:formatCode="yyyy\-mm\-dd;@">
                  <c:v>45881</c:v>
                </c:pt>
                <c:pt idx="25" c:formatCode="yyyy\-mm\-dd;@">
                  <c:v>45882</c:v>
                </c:pt>
                <c:pt idx="26" c:formatCode="yyyy\-mm\-dd;@">
                  <c:v>45883</c:v>
                </c:pt>
                <c:pt idx="27" c:formatCode="yyyy\-mm\-dd;@">
                  <c:v>45884</c:v>
                </c:pt>
                <c:pt idx="28" c:formatCode="yyyy\-mm\-dd;@">
                  <c:v>45887</c:v>
                </c:pt>
                <c:pt idx="29" c:formatCode="yyyy\-mm\-dd;@">
                  <c:v>45888</c:v>
                </c:pt>
                <c:pt idx="30" c:formatCode="yyyy\-mm\-dd;@">
                  <c:v>45889</c:v>
                </c:pt>
                <c:pt idx="31" c:formatCode="yyyy\-mm\-dd;@">
                  <c:v>45890</c:v>
                </c:pt>
                <c:pt idx="32" c:formatCode="yyyy\-mm\-dd;@">
                  <c:v>45891</c:v>
                </c:pt>
                <c:pt idx="33" c:formatCode="yyyy\-mm\-dd;@">
                  <c:v>45894</c:v>
                </c:pt>
                <c:pt idx="34" c:formatCode="yyyy\-mm\-dd;@">
                  <c:v>45895</c:v>
                </c:pt>
                <c:pt idx="35" c:formatCode="yyyy\-mm\-dd;@">
                  <c:v>45896</c:v>
                </c:pt>
                <c:pt idx="36" c:formatCode="yyyy\-mm\-dd;@">
                  <c:v>45897</c:v>
                </c:pt>
                <c:pt idx="37" c:formatCode="yyyy\-mm\-dd;@">
                  <c:v>45898</c:v>
                </c:pt>
                <c:pt idx="38" c:formatCode="yyyy\-mm\-dd;@">
                  <c:v>45901</c:v>
                </c:pt>
                <c:pt idx="39" c:formatCode="yyyy\-mm\-dd;@">
                  <c:v>45902</c:v>
                </c:pt>
                <c:pt idx="40" c:formatCode="yyyy\-mm\-dd;@">
                  <c:v>45903</c:v>
                </c:pt>
                <c:pt idx="41" c:formatCode="yyyy\-mm\-dd;@">
                  <c:v>45904</c:v>
                </c:pt>
              </c:numCache>
            </c:numRef>
          </c:cat>
          <c:val>
            <c:numRef>
              <c:f>attribution!$D$2:$D$43</c:f>
              <c:numCache>
                <c:formatCode>0.00%</c:formatCode>
                <c:ptCount val="42"/>
                <c:pt idx="0">
                  <c:v>0</c:v>
                </c:pt>
                <c:pt idx="1">
                  <c:v>0.003978016</c:v>
                </c:pt>
                <c:pt idx="2">
                  <c:v>-0.005522395</c:v>
                </c:pt>
                <c:pt idx="3">
                  <c:v>-0.00698366899999999</c:v>
                </c:pt>
                <c:pt idx="4">
                  <c:v>-0.011813482</c:v>
                </c:pt>
                <c:pt idx="5">
                  <c:v>-0.021962273</c:v>
                </c:pt>
                <c:pt idx="6">
                  <c:v>-0.0136306535</c:v>
                </c:pt>
                <c:pt idx="7">
                  <c:v>-0.0105558555</c:v>
                </c:pt>
                <c:pt idx="8">
                  <c:v>-0.0125275475</c:v>
                </c:pt>
                <c:pt idx="9">
                  <c:v>-0.0137864855</c:v>
                </c:pt>
                <c:pt idx="10">
                  <c:v>-0.004926973</c:v>
                </c:pt>
                <c:pt idx="11">
                  <c:v>-0.00825794900000001</c:v>
                </c:pt>
                <c:pt idx="12">
                  <c:v>-0.0029665665</c:v>
                </c:pt>
                <c:pt idx="13">
                  <c:v>-0.012143866</c:v>
                </c:pt>
                <c:pt idx="14">
                  <c:v>-0.00719649850000001</c:v>
                </c:pt>
                <c:pt idx="15">
                  <c:v>-0.00772094500000001</c:v>
                </c:pt>
                <c:pt idx="16">
                  <c:v>-0.018954992</c:v>
                </c:pt>
                <c:pt idx="17">
                  <c:v>-0.041663786</c:v>
                </c:pt>
                <c:pt idx="18">
                  <c:v>-0.0361512255</c:v>
                </c:pt>
                <c:pt idx="19">
                  <c:v>-0.0357020065</c:v>
                </c:pt>
                <c:pt idx="20">
                  <c:v>-0.0341047528</c:v>
                </c:pt>
                <c:pt idx="21">
                  <c:v>-0.0232514314</c:v>
                </c:pt>
                <c:pt idx="22">
                  <c:v>-0.0173689674</c:v>
                </c:pt>
                <c:pt idx="23">
                  <c:v>-0.0223332767</c:v>
                </c:pt>
                <c:pt idx="24">
                  <c:v>-0.018117998</c:v>
                </c:pt>
                <c:pt idx="25">
                  <c:v>-0.0104223529</c:v>
                </c:pt>
                <c:pt idx="26">
                  <c:v>-0.0042063395</c:v>
                </c:pt>
                <c:pt idx="27">
                  <c:v>0.00320081949999998</c:v>
                </c:pt>
                <c:pt idx="28">
                  <c:v>-0.000900654900000012</c:v>
                </c:pt>
                <c:pt idx="29">
                  <c:v>0.011162498</c:v>
                </c:pt>
                <c:pt idx="30">
                  <c:v>0.0133366987</c:v>
                </c:pt>
                <c:pt idx="31">
                  <c:v>0.00703360379999998</c:v>
                </c:pt>
                <c:pt idx="32">
                  <c:v>0.0123347811</c:v>
                </c:pt>
                <c:pt idx="33">
                  <c:v>-0.00357181010000001</c:v>
                </c:pt>
                <c:pt idx="34">
                  <c:v>-0.0220925281</c:v>
                </c:pt>
                <c:pt idx="35">
                  <c:v>-0.0214798358</c:v>
                </c:pt>
                <c:pt idx="36">
                  <c:v>-0.0199269042</c:v>
                </c:pt>
                <c:pt idx="37">
                  <c:v>-0.0270438885</c:v>
                </c:pt>
                <c:pt idx="38">
                  <c:v>-0.0270215567</c:v>
                </c:pt>
                <c:pt idx="39">
                  <c:v>-0.0367638502</c:v>
                </c:pt>
                <c:pt idx="40">
                  <c:v>-0.0304847266</c:v>
                </c:pt>
                <c:pt idx="41">
                  <c:v>-0.0291051233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attribution!$E$1</c:f>
              <c:strCache>
                <c:ptCount val="1"/>
                <c:pt idx="0">
                  <c:v>Index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attribution!$A$2:$A$43</c:f>
              <c:numCache>
                <c:formatCode>yyyy\-mm\-dd;@</c:formatCode>
                <c:ptCount val="42"/>
                <c:pt idx="0" c:formatCode="yyyy\-mm\-dd;@">
                  <c:v>45847</c:v>
                </c:pt>
                <c:pt idx="1" c:formatCode="yyyy\-mm\-dd;@">
                  <c:v>45848</c:v>
                </c:pt>
                <c:pt idx="2" c:formatCode="yyyy\-mm\-dd;@">
                  <c:v>45849</c:v>
                </c:pt>
                <c:pt idx="3" c:formatCode="yyyy\-mm\-dd;@">
                  <c:v>45852</c:v>
                </c:pt>
                <c:pt idx="4" c:formatCode="yyyy\-mm\-dd;@">
                  <c:v>45853</c:v>
                </c:pt>
                <c:pt idx="5" c:formatCode="yyyy\-mm\-dd;@">
                  <c:v>45854</c:v>
                </c:pt>
                <c:pt idx="6" c:formatCode="yyyy\-mm\-dd;@">
                  <c:v>45855</c:v>
                </c:pt>
                <c:pt idx="7" c:formatCode="yyyy\-mm\-dd;@">
                  <c:v>45856</c:v>
                </c:pt>
                <c:pt idx="8" c:formatCode="yyyy\-mm\-dd;@">
                  <c:v>45859</c:v>
                </c:pt>
                <c:pt idx="9" c:formatCode="yyyy\-mm\-dd;@">
                  <c:v>45860</c:v>
                </c:pt>
                <c:pt idx="10" c:formatCode="yyyy\-mm\-dd;@">
                  <c:v>45861</c:v>
                </c:pt>
                <c:pt idx="11" c:formatCode="yyyy\-mm\-dd;@">
                  <c:v>45862</c:v>
                </c:pt>
                <c:pt idx="12" c:formatCode="yyyy\-mm\-dd;@">
                  <c:v>45863</c:v>
                </c:pt>
                <c:pt idx="13" c:formatCode="yyyy\-mm\-dd;@">
                  <c:v>45866</c:v>
                </c:pt>
                <c:pt idx="14" c:formatCode="yyyy\-mm\-dd;@">
                  <c:v>45867</c:v>
                </c:pt>
                <c:pt idx="15" c:formatCode="yyyy\-mm\-dd;@">
                  <c:v>45868</c:v>
                </c:pt>
                <c:pt idx="16" c:formatCode="yyyy\-mm\-dd;@">
                  <c:v>45869</c:v>
                </c:pt>
                <c:pt idx="17" c:formatCode="yyyy\-mm\-dd;@">
                  <c:v>45870</c:v>
                </c:pt>
                <c:pt idx="18" c:formatCode="yyyy\-mm\-dd;@">
                  <c:v>45873</c:v>
                </c:pt>
                <c:pt idx="19" c:formatCode="yyyy\-mm\-dd;@">
                  <c:v>45874</c:v>
                </c:pt>
                <c:pt idx="20" c:formatCode="yyyy\-mm\-dd;@">
                  <c:v>45875</c:v>
                </c:pt>
                <c:pt idx="21" c:formatCode="yyyy\-mm\-dd;@">
                  <c:v>45876</c:v>
                </c:pt>
                <c:pt idx="22" c:formatCode="yyyy\-mm\-dd;@">
                  <c:v>45877</c:v>
                </c:pt>
                <c:pt idx="23" c:formatCode="yyyy\-mm\-dd;@">
                  <c:v>45880</c:v>
                </c:pt>
                <c:pt idx="24" c:formatCode="yyyy\-mm\-dd;@">
                  <c:v>45881</c:v>
                </c:pt>
                <c:pt idx="25" c:formatCode="yyyy\-mm\-dd;@">
                  <c:v>45882</c:v>
                </c:pt>
                <c:pt idx="26" c:formatCode="yyyy\-mm\-dd;@">
                  <c:v>45883</c:v>
                </c:pt>
                <c:pt idx="27" c:formatCode="yyyy\-mm\-dd;@">
                  <c:v>45884</c:v>
                </c:pt>
                <c:pt idx="28" c:formatCode="yyyy\-mm\-dd;@">
                  <c:v>45887</c:v>
                </c:pt>
                <c:pt idx="29" c:formatCode="yyyy\-mm\-dd;@">
                  <c:v>45888</c:v>
                </c:pt>
                <c:pt idx="30" c:formatCode="yyyy\-mm\-dd;@">
                  <c:v>45889</c:v>
                </c:pt>
                <c:pt idx="31" c:formatCode="yyyy\-mm\-dd;@">
                  <c:v>45890</c:v>
                </c:pt>
                <c:pt idx="32" c:formatCode="yyyy\-mm\-dd;@">
                  <c:v>45891</c:v>
                </c:pt>
                <c:pt idx="33" c:formatCode="yyyy\-mm\-dd;@">
                  <c:v>45894</c:v>
                </c:pt>
                <c:pt idx="34" c:formatCode="yyyy\-mm\-dd;@">
                  <c:v>45895</c:v>
                </c:pt>
                <c:pt idx="35" c:formatCode="yyyy\-mm\-dd;@">
                  <c:v>45896</c:v>
                </c:pt>
                <c:pt idx="36" c:formatCode="yyyy\-mm\-dd;@">
                  <c:v>45897</c:v>
                </c:pt>
                <c:pt idx="37" c:formatCode="yyyy\-mm\-dd;@">
                  <c:v>45898</c:v>
                </c:pt>
                <c:pt idx="38" c:formatCode="yyyy\-mm\-dd;@">
                  <c:v>45901</c:v>
                </c:pt>
                <c:pt idx="39" c:formatCode="yyyy\-mm\-dd;@">
                  <c:v>45902</c:v>
                </c:pt>
                <c:pt idx="40" c:formatCode="yyyy\-mm\-dd;@">
                  <c:v>45903</c:v>
                </c:pt>
                <c:pt idx="41" c:formatCode="yyyy\-mm\-dd;@">
                  <c:v>45904</c:v>
                </c:pt>
              </c:numCache>
            </c:numRef>
          </c:cat>
          <c:val>
            <c:numRef>
              <c:f>attribution!$E$2:$E$43</c:f>
              <c:numCache>
                <c:formatCode>0.00%</c:formatCode>
                <c:ptCount val="42"/>
                <c:pt idx="0">
                  <c:v>0</c:v>
                </c:pt>
                <c:pt idx="1">
                  <c:v>-0.003018951</c:v>
                </c:pt>
                <c:pt idx="2">
                  <c:v>0.00623967300000001</c:v>
                </c:pt>
                <c:pt idx="3">
                  <c:v>0.00891980099999999</c:v>
                </c:pt>
                <c:pt idx="4">
                  <c:v>0.014244525</c:v>
                </c:pt>
                <c:pt idx="5">
                  <c:v>0.019843353</c:v>
                </c:pt>
                <c:pt idx="6">
                  <c:v>0.007164774</c:v>
                </c:pt>
                <c:pt idx="7">
                  <c:v>0.00707975099999999</c:v>
                </c:pt>
                <c:pt idx="8">
                  <c:v>0.010182456</c:v>
                </c:pt>
                <c:pt idx="9">
                  <c:v>0.017010945</c:v>
                </c:pt>
                <c:pt idx="10">
                  <c:v>0.00355700699999997</c:v>
                </c:pt>
                <c:pt idx="11">
                  <c:v>0.00763684200000004</c:v>
                </c:pt>
                <c:pt idx="12">
                  <c:v>0.00556837200000001</c:v>
                </c:pt>
                <c:pt idx="13">
                  <c:v>0.00984490199999999</c:v>
                </c:pt>
                <c:pt idx="14">
                  <c:v>0.00267759000000004</c:v>
                </c:pt>
                <c:pt idx="15">
                  <c:v>0.00209385</c:v>
                </c:pt>
                <c:pt idx="16">
                  <c:v>0.013513581</c:v>
                </c:pt>
                <c:pt idx="17">
                  <c:v>0.04216887</c:v>
                </c:pt>
                <c:pt idx="18">
                  <c:v>0.031274505</c:v>
                </c:pt>
                <c:pt idx="19">
                  <c:v>0.032666598</c:v>
                </c:pt>
                <c:pt idx="20">
                  <c:v>0.0308339079860876</c:v>
                </c:pt>
                <c:pt idx="21">
                  <c:v>0.0211019179904787</c:v>
                </c:pt>
                <c:pt idx="22">
                  <c:v>0.0166898379924695</c:v>
                </c:pt>
                <c:pt idx="23">
                  <c:v>0.0225167179898403</c:v>
                </c:pt>
                <c:pt idx="24">
                  <c:v>0.0153248179930853</c:v>
                </c:pt>
                <c:pt idx="25">
                  <c:v>0.00857176799613234</c:v>
                </c:pt>
                <c:pt idx="26">
                  <c:v>8.29799999623512e-6</c:v>
                </c:pt>
                <c:pt idx="27">
                  <c:v>-0.0069491119968645</c:v>
                </c:pt>
                <c:pt idx="28">
                  <c:v>-0.0017877119991934</c:v>
                </c:pt>
                <c:pt idx="29">
                  <c:v>-0.0142366419935763</c:v>
                </c:pt>
                <c:pt idx="30">
                  <c:v>-0.0134440919939339</c:v>
                </c:pt>
                <c:pt idx="31">
                  <c:v>-0.00889315199598736</c:v>
                </c:pt>
                <c:pt idx="32">
                  <c:v>-0.0130065519941313</c:v>
                </c:pt>
                <c:pt idx="33">
                  <c:v>0.00358459799838261</c:v>
                </c:pt>
                <c:pt idx="34">
                  <c:v>0.0210377279905076</c:v>
                </c:pt>
                <c:pt idx="35">
                  <c:v>0.0165680079925244</c:v>
                </c:pt>
                <c:pt idx="36">
                  <c:v>0.0141222379936279</c:v>
                </c:pt>
                <c:pt idx="37">
                  <c:v>0.0218119379901584</c:v>
                </c:pt>
                <c:pt idx="38">
                  <c:v>0.0212879379903948</c:v>
                </c:pt>
                <c:pt idx="39">
                  <c:v>0.0283160879872236</c:v>
                </c:pt>
                <c:pt idx="40">
                  <c:v>0.0197408279910928</c:v>
                </c:pt>
                <c:pt idx="41">
                  <c:v>0.022464317989864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8441951"/>
        <c:axId val="845837567"/>
      </c:lineChart>
      <c:dateAx>
        <c:axId val="888441951"/>
        <c:scaling>
          <c:orientation val="minMax"/>
        </c:scaling>
        <c:delete val="0"/>
        <c:axPos val="b"/>
        <c:numFmt formatCode="mmm\-d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45837567"/>
        <c:crosses val="autoZero"/>
        <c:auto val="0"/>
        <c:lblOffset val="100"/>
        <c:baseTimeUnit val="days"/>
        <c:majorUnit val="5"/>
        <c:majorTimeUnit val="days"/>
      </c:dateAx>
      <c:valAx>
        <c:axId val="84583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8844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1b8830-e4fd-4df3-b9eb-a00a3a688584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457200</xdr:colOff>
      <xdr:row>5</xdr:row>
      <xdr:rowOff>12700</xdr:rowOff>
    </xdr:from>
    <xdr:to>
      <xdr:col>18</xdr:col>
      <xdr:colOff>25400</xdr:colOff>
      <xdr:row>28</xdr:row>
      <xdr:rowOff>127000</xdr:rowOff>
    </xdr:to>
    <xdr:graphicFrame>
      <xdr:nvGraphicFramePr>
        <xdr:cNvPr id="2" name="Chart 1"/>
        <xdr:cNvGraphicFramePr/>
      </xdr:nvGraphicFramePr>
      <xdr:xfrm>
        <a:off x="6451600" y="1130300"/>
        <a:ext cx="8788400" cy="5255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254000</xdr:colOff>
      <xdr:row>7</xdr:row>
      <xdr:rowOff>152400</xdr:rowOff>
    </xdr:from>
    <xdr:to>
      <xdr:col>19</xdr:col>
      <xdr:colOff>666750</xdr:colOff>
      <xdr:row>29</xdr:row>
      <xdr:rowOff>31750</xdr:rowOff>
    </xdr:to>
    <xdr:graphicFrame>
      <xdr:nvGraphicFramePr>
        <xdr:cNvPr id="4" name="Chart 3"/>
        <xdr:cNvGraphicFramePr/>
      </xdr:nvGraphicFramePr>
      <xdr:xfrm>
        <a:off x="7924800" y="1717040"/>
        <a:ext cx="8794750" cy="4796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76"/>
  <sheetViews>
    <sheetView zoomScale="80" zoomScaleNormal="80" topLeftCell="A35" workbookViewId="0">
      <pane xSplit="1" topLeftCell="CJ1" activePane="topRight" state="frozen"/>
      <selection/>
      <selection pane="topRight" activeCell="AV67" sqref="AV67"/>
    </sheetView>
  </sheetViews>
  <sheetFormatPr defaultColWidth="11" defaultRowHeight="17.6"/>
  <cols>
    <col min="1" max="1" width="28.5" customWidth="1"/>
    <col min="2" max="2" width="10.1666666666667" customWidth="1"/>
    <col min="3" max="3" width="15.1666666666667" customWidth="1"/>
    <col min="4" max="4" width="18" customWidth="1"/>
    <col min="5" max="5" width="17.6666666666667" customWidth="1"/>
    <col min="6" max="6" width="8.66666666666667" style="25" customWidth="1"/>
    <col min="7" max="7" width="13.1666666666667" customWidth="1"/>
    <col min="8" max="26" width="14.8333333333333" customWidth="1"/>
    <col min="27" max="27" width="13.3333333333333" customWidth="1"/>
    <col min="28" max="28" width="16.8333333333333" customWidth="1"/>
    <col min="29" max="29" width="8.66666666666667" customWidth="1"/>
    <col min="30" max="38" width="17.4" customWidth="1"/>
    <col min="39" max="40" width="17.2" customWidth="1"/>
    <col min="41" max="41" width="17.4" customWidth="1"/>
    <col min="42" max="42" width="17.2" customWidth="1"/>
    <col min="43" max="48" width="17.4" customWidth="1"/>
    <col min="49" max="49" width="16.2666666666667" customWidth="1"/>
    <col min="50" max="50" width="17.2" customWidth="1"/>
    <col min="51" max="51" width="16.2666666666667" customWidth="1"/>
    <col min="52" max="52" width="16.0666666666667" customWidth="1"/>
    <col min="53" max="72" width="17.2" customWidth="1"/>
    <col min="73" max="73" width="17.4" customWidth="1"/>
    <col min="74" max="76" width="17.2" customWidth="1"/>
    <col min="77" max="77" width="17.4" customWidth="1"/>
    <col min="78" max="82" width="17.2" customWidth="1"/>
    <col min="83" max="89" width="19.4" customWidth="1"/>
  </cols>
  <sheetData>
    <row r="1" spans="1:29">
      <c r="A1" s="15" t="s">
        <v>0</v>
      </c>
      <c r="B1" s="15" t="s">
        <v>1</v>
      </c>
      <c r="C1" s="15" t="s">
        <v>2</v>
      </c>
      <c r="D1" s="26">
        <v>10000000</v>
      </c>
      <c r="F1" s="37" t="s">
        <v>3</v>
      </c>
      <c r="G1" s="38"/>
      <c r="AA1" s="81" t="s">
        <v>4</v>
      </c>
      <c r="AB1" s="82"/>
      <c r="AC1" s="90"/>
    </row>
    <row r="2" spans="1:29">
      <c r="A2" s="15" t="s">
        <v>5</v>
      </c>
      <c r="B2" s="15" t="s">
        <v>6</v>
      </c>
      <c r="C2" s="15"/>
      <c r="F2" s="39"/>
      <c r="G2" s="40"/>
      <c r="AA2" s="83"/>
      <c r="AB2" s="84"/>
      <c r="AC2" s="91"/>
    </row>
    <row r="3" s="20" customFormat="1" ht="41.75" spans="1:89">
      <c r="A3" s="27" t="s">
        <v>7</v>
      </c>
      <c r="B3" s="28" t="s">
        <v>8</v>
      </c>
      <c r="C3" s="7" t="s">
        <v>9</v>
      </c>
      <c r="D3" s="7" t="s">
        <v>10</v>
      </c>
      <c r="E3" s="41" t="s">
        <v>11</v>
      </c>
      <c r="F3" s="42" t="s">
        <v>12</v>
      </c>
      <c r="G3" s="43" t="s">
        <v>13</v>
      </c>
      <c r="H3" s="44" t="s">
        <v>13</v>
      </c>
      <c r="I3" s="44" t="s">
        <v>13</v>
      </c>
      <c r="J3" s="44" t="s">
        <v>13</v>
      </c>
      <c r="K3" s="44" t="s">
        <v>13</v>
      </c>
      <c r="L3" s="44" t="s">
        <v>13</v>
      </c>
      <c r="M3" s="44" t="s">
        <v>13</v>
      </c>
      <c r="N3" s="44" t="s">
        <v>13</v>
      </c>
      <c r="O3" s="44" t="s">
        <v>13</v>
      </c>
      <c r="P3" s="44" t="s">
        <v>13</v>
      </c>
      <c r="Q3" s="44" t="s">
        <v>13</v>
      </c>
      <c r="R3" s="44" t="s">
        <v>13</v>
      </c>
      <c r="S3" s="44" t="s">
        <v>13</v>
      </c>
      <c r="T3" s="44" t="s">
        <v>13</v>
      </c>
      <c r="U3" s="44" t="s">
        <v>13</v>
      </c>
      <c r="V3" s="44" t="s">
        <v>13</v>
      </c>
      <c r="W3" s="44" t="s">
        <v>13</v>
      </c>
      <c r="X3" s="44" t="s">
        <v>13</v>
      </c>
      <c r="Y3" s="44" t="s">
        <v>13</v>
      </c>
      <c r="Z3" s="85" t="s">
        <v>13</v>
      </c>
      <c r="AA3" s="86" t="s">
        <v>10</v>
      </c>
      <c r="AB3" s="87" t="s">
        <v>11</v>
      </c>
      <c r="AC3" s="92" t="s">
        <v>12</v>
      </c>
      <c r="AD3" s="44" t="s">
        <v>13</v>
      </c>
      <c r="AE3" s="44" t="s">
        <v>13</v>
      </c>
      <c r="AF3" s="44" t="s">
        <v>13</v>
      </c>
      <c r="AG3" s="44" t="s">
        <v>13</v>
      </c>
      <c r="AH3" s="44" t="s">
        <v>13</v>
      </c>
      <c r="AI3" s="44" t="s">
        <v>13</v>
      </c>
      <c r="AJ3" s="44" t="s">
        <v>13</v>
      </c>
      <c r="AK3" s="44" t="s">
        <v>13</v>
      </c>
      <c r="AL3" s="44" t="s">
        <v>13</v>
      </c>
      <c r="AM3" s="44" t="s">
        <v>13</v>
      </c>
      <c r="AN3" s="44" t="s">
        <v>13</v>
      </c>
      <c r="AO3" s="44" t="s">
        <v>13</v>
      </c>
      <c r="AP3" s="44" t="s">
        <v>13</v>
      </c>
      <c r="AQ3" s="44" t="s">
        <v>13</v>
      </c>
      <c r="AR3" s="44" t="s">
        <v>13</v>
      </c>
      <c r="AS3" s="44" t="s">
        <v>13</v>
      </c>
      <c r="AT3" s="44" t="s">
        <v>13</v>
      </c>
      <c r="AU3" s="44" t="s">
        <v>13</v>
      </c>
      <c r="AV3" s="44" t="s">
        <v>13</v>
      </c>
      <c r="AW3" s="44" t="s">
        <v>13</v>
      </c>
      <c r="AX3" s="44" t="s">
        <v>13</v>
      </c>
      <c r="AY3" s="44" t="s">
        <v>13</v>
      </c>
      <c r="AZ3" s="44" t="s">
        <v>13</v>
      </c>
      <c r="BA3" s="44" t="s">
        <v>13</v>
      </c>
      <c r="BB3" s="44" t="s">
        <v>13</v>
      </c>
      <c r="BC3" s="44" t="s">
        <v>13</v>
      </c>
      <c r="BD3" s="44" t="s">
        <v>13</v>
      </c>
      <c r="BE3" s="44" t="s">
        <v>13</v>
      </c>
      <c r="BF3" s="44" t="s">
        <v>13</v>
      </c>
      <c r="BG3" s="44" t="s">
        <v>13</v>
      </c>
      <c r="BH3" s="44" t="s">
        <v>13</v>
      </c>
      <c r="BI3" s="44" t="s">
        <v>13</v>
      </c>
      <c r="BJ3" s="44" t="s">
        <v>13</v>
      </c>
      <c r="BK3" s="44" t="s">
        <v>13</v>
      </c>
      <c r="BL3" s="44" t="s">
        <v>13</v>
      </c>
      <c r="BM3" s="44" t="s">
        <v>13</v>
      </c>
      <c r="BN3" s="44" t="s">
        <v>13</v>
      </c>
      <c r="BO3" s="44" t="s">
        <v>13</v>
      </c>
      <c r="BP3" s="44" t="s">
        <v>13</v>
      </c>
      <c r="BQ3" s="44" t="s">
        <v>13</v>
      </c>
      <c r="BR3" s="44" t="s">
        <v>13</v>
      </c>
      <c r="BS3" s="44" t="s">
        <v>13</v>
      </c>
      <c r="BT3" s="44" t="s">
        <v>13</v>
      </c>
      <c r="BU3" s="44" t="s">
        <v>13</v>
      </c>
      <c r="BV3" s="44" t="s">
        <v>13</v>
      </c>
      <c r="BW3" s="44" t="s">
        <v>13</v>
      </c>
      <c r="BX3" s="44" t="s">
        <v>13</v>
      </c>
      <c r="BY3" s="44" t="s">
        <v>13</v>
      </c>
      <c r="BZ3" s="44" t="s">
        <v>13</v>
      </c>
      <c r="CA3" s="44" t="s">
        <v>13</v>
      </c>
      <c r="CB3" s="44" t="s">
        <v>13</v>
      </c>
      <c r="CC3" s="44" t="s">
        <v>13</v>
      </c>
      <c r="CD3" s="44" t="s">
        <v>13</v>
      </c>
      <c r="CE3" s="44" t="s">
        <v>13</v>
      </c>
      <c r="CF3" s="44" t="s">
        <v>13</v>
      </c>
      <c r="CG3" s="44" t="s">
        <v>13</v>
      </c>
      <c r="CH3" s="44" t="s">
        <v>13</v>
      </c>
      <c r="CI3" s="44" t="s">
        <v>13</v>
      </c>
      <c r="CJ3" s="44" t="s">
        <v>13</v>
      </c>
      <c r="CK3" s="44" t="s">
        <v>13</v>
      </c>
    </row>
    <row r="4" s="20" customFormat="1" ht="41.75" spans="1:89">
      <c r="A4" s="29" t="s">
        <v>14</v>
      </c>
      <c r="B4" s="29"/>
      <c r="C4" s="10" t="s">
        <v>15</v>
      </c>
      <c r="D4" s="10" t="s">
        <v>16</v>
      </c>
      <c r="E4" s="45"/>
      <c r="F4" s="46"/>
      <c r="G4" s="47">
        <v>45847</v>
      </c>
      <c r="H4" s="48">
        <v>45848</v>
      </c>
      <c r="I4" s="73">
        <v>45849</v>
      </c>
      <c r="J4" s="73">
        <v>45852</v>
      </c>
      <c r="K4" s="73">
        <v>45853</v>
      </c>
      <c r="L4" s="73">
        <v>45854</v>
      </c>
      <c r="M4" s="73">
        <v>45855</v>
      </c>
      <c r="N4" s="73">
        <v>45856</v>
      </c>
      <c r="O4" s="73">
        <v>45859</v>
      </c>
      <c r="P4" s="73">
        <v>45860</v>
      </c>
      <c r="Q4" s="73">
        <v>45861</v>
      </c>
      <c r="R4" s="73">
        <v>45862</v>
      </c>
      <c r="S4" s="73">
        <v>45863</v>
      </c>
      <c r="T4" s="73">
        <v>45866</v>
      </c>
      <c r="U4" s="73">
        <v>45867</v>
      </c>
      <c r="V4" s="73">
        <v>45868</v>
      </c>
      <c r="W4" s="73">
        <v>45869</v>
      </c>
      <c r="X4" s="73">
        <v>45870</v>
      </c>
      <c r="Y4" s="73">
        <v>45873</v>
      </c>
      <c r="Z4" s="73">
        <v>45874</v>
      </c>
      <c r="AA4" s="88" t="s">
        <v>17</v>
      </c>
      <c r="AB4" s="89"/>
      <c r="AC4" s="93"/>
      <c r="AD4" s="73">
        <v>45875</v>
      </c>
      <c r="AE4" s="73">
        <v>45876</v>
      </c>
      <c r="AF4" s="73">
        <v>45877</v>
      </c>
      <c r="AG4" s="73">
        <v>45880</v>
      </c>
      <c r="AH4" s="73">
        <v>45881</v>
      </c>
      <c r="AI4" s="73">
        <v>45882</v>
      </c>
      <c r="AJ4" s="73">
        <v>45883</v>
      </c>
      <c r="AK4" s="73">
        <v>45884</v>
      </c>
      <c r="AL4" s="73">
        <v>45887</v>
      </c>
      <c r="AM4" s="73">
        <v>45888</v>
      </c>
      <c r="AN4" s="73">
        <v>45889</v>
      </c>
      <c r="AO4" s="73">
        <v>45890</v>
      </c>
      <c r="AP4" s="73">
        <v>45891</v>
      </c>
      <c r="AQ4" s="73">
        <v>45894</v>
      </c>
      <c r="AR4" s="73">
        <v>45895</v>
      </c>
      <c r="AS4" s="73">
        <v>45896</v>
      </c>
      <c r="AT4" s="73">
        <v>45897</v>
      </c>
      <c r="AU4" s="73">
        <v>45898</v>
      </c>
      <c r="AV4" s="73">
        <v>45901</v>
      </c>
      <c r="AW4" s="73">
        <v>45902</v>
      </c>
      <c r="AX4" s="73">
        <v>45903</v>
      </c>
      <c r="AY4" s="73">
        <v>45904</v>
      </c>
      <c r="AZ4" s="73">
        <v>45905</v>
      </c>
      <c r="BA4" s="73">
        <v>45908</v>
      </c>
      <c r="BB4" s="73">
        <v>45909</v>
      </c>
      <c r="BC4" s="73">
        <v>45910</v>
      </c>
      <c r="BD4" s="73">
        <v>45911</v>
      </c>
      <c r="BE4" s="73">
        <v>45912</v>
      </c>
      <c r="BF4" s="73">
        <v>45915</v>
      </c>
      <c r="BG4" s="73">
        <v>45916</v>
      </c>
      <c r="BH4" s="73">
        <v>45917</v>
      </c>
      <c r="BI4" s="73">
        <v>45918</v>
      </c>
      <c r="BJ4" s="73">
        <v>45919</v>
      </c>
      <c r="BK4" s="73">
        <v>45922</v>
      </c>
      <c r="BL4" s="73">
        <v>45923</v>
      </c>
      <c r="BM4" s="73">
        <v>45924</v>
      </c>
      <c r="BN4" s="73">
        <v>45925</v>
      </c>
      <c r="BO4" s="73">
        <v>45926</v>
      </c>
      <c r="BP4" s="73">
        <v>45929</v>
      </c>
      <c r="BQ4" s="73">
        <v>45930</v>
      </c>
      <c r="BR4" s="73">
        <v>45931</v>
      </c>
      <c r="BS4" s="73">
        <v>45932</v>
      </c>
      <c r="BT4" s="73">
        <v>45933</v>
      </c>
      <c r="BU4" s="73">
        <v>45936</v>
      </c>
      <c r="BV4" s="73">
        <v>45937</v>
      </c>
      <c r="BW4" s="73">
        <v>45938</v>
      </c>
      <c r="BX4" s="73">
        <v>45939</v>
      </c>
      <c r="BY4" s="73">
        <v>45940</v>
      </c>
      <c r="BZ4" s="73">
        <v>45943</v>
      </c>
      <c r="CA4" s="73">
        <v>45944</v>
      </c>
      <c r="CB4" s="73">
        <v>45945</v>
      </c>
      <c r="CC4" s="73">
        <v>45946</v>
      </c>
      <c r="CD4" s="73">
        <v>45947</v>
      </c>
      <c r="CE4" s="73">
        <v>45950</v>
      </c>
      <c r="CF4" s="73">
        <v>45951</v>
      </c>
      <c r="CG4" s="73">
        <v>45952</v>
      </c>
      <c r="CH4" s="73">
        <v>45953</v>
      </c>
      <c r="CI4" s="73">
        <v>45954</v>
      </c>
      <c r="CJ4" s="73">
        <v>45957</v>
      </c>
      <c r="CK4" s="73">
        <v>45958</v>
      </c>
    </row>
    <row r="5" spans="1:89">
      <c r="A5" s="14" t="s">
        <v>18</v>
      </c>
      <c r="B5" s="15" t="s">
        <v>19</v>
      </c>
      <c r="C5" s="16">
        <v>0.0952</v>
      </c>
      <c r="D5" s="16">
        <v>0.0325</v>
      </c>
      <c r="E5" s="49">
        <f>D5*$D$1</f>
        <v>325000</v>
      </c>
      <c r="F5" s="50">
        <f t="shared" ref="F5:F44" si="0">ROUNDDOWN(E5/G5,0)</f>
        <v>666</v>
      </c>
      <c r="G5" s="51">
        <v>487.85</v>
      </c>
      <c r="H5" s="52">
        <v>505</v>
      </c>
      <c r="I5" s="52">
        <v>487.7</v>
      </c>
      <c r="J5" s="52">
        <v>479.55</v>
      </c>
      <c r="K5" s="52">
        <v>477.35</v>
      </c>
      <c r="L5" s="52">
        <v>475.6</v>
      </c>
      <c r="M5" s="52">
        <v>476.85</v>
      </c>
      <c r="N5" s="52">
        <v>472.75</v>
      </c>
      <c r="O5" s="77">
        <v>468.8</v>
      </c>
      <c r="P5" s="77">
        <v>465.55</v>
      </c>
      <c r="Q5" s="77">
        <v>479.95</v>
      </c>
      <c r="R5" s="77">
        <v>470.25</v>
      </c>
      <c r="S5" s="77">
        <v>488.7</v>
      </c>
      <c r="T5" s="77">
        <v>489.2</v>
      </c>
      <c r="U5" s="77">
        <v>474.8</v>
      </c>
      <c r="V5" s="77">
        <v>480.75</v>
      </c>
      <c r="W5" s="77">
        <v>472.35</v>
      </c>
      <c r="X5" s="77">
        <v>461.65</v>
      </c>
      <c r="Y5" s="77">
        <v>462.3</v>
      </c>
      <c r="Z5" s="77">
        <v>456.5</v>
      </c>
      <c r="AA5" s="13">
        <v>0.0814152458585265</v>
      </c>
      <c r="AB5" s="49">
        <f>AA5*$D$1</f>
        <v>814152.458585265</v>
      </c>
      <c r="AC5" s="50">
        <f t="shared" ref="AC5:AC44" si="1">ROUNDDOWN(AB5/AE5,0)</f>
        <v>1765</v>
      </c>
      <c r="AD5" s="77">
        <v>457.7</v>
      </c>
      <c r="AE5" s="77">
        <v>461.1</v>
      </c>
      <c r="AF5" s="77">
        <v>461.35</v>
      </c>
      <c r="AG5" s="77">
        <v>458</v>
      </c>
      <c r="AH5" s="77">
        <v>457.15</v>
      </c>
      <c r="AI5" s="77">
        <v>469.6</v>
      </c>
      <c r="AJ5" s="77">
        <v>472.9</v>
      </c>
      <c r="AK5" s="77">
        <v>476.1</v>
      </c>
      <c r="AL5" s="77">
        <v>475.85</v>
      </c>
      <c r="AM5" s="77">
        <v>489.9</v>
      </c>
      <c r="AN5" s="77">
        <v>493.55</v>
      </c>
      <c r="AO5" s="77">
        <v>485</v>
      </c>
      <c r="AP5" s="77">
        <v>495.1</v>
      </c>
      <c r="AQ5" s="77">
        <v>488.05</v>
      </c>
      <c r="AR5" s="77">
        <v>486.25</v>
      </c>
      <c r="AS5" s="77">
        <v>502</v>
      </c>
      <c r="AT5" s="77">
        <v>513.1</v>
      </c>
      <c r="AU5" s="77">
        <v>504.1</v>
      </c>
      <c r="AV5" s="77">
        <v>503.7</v>
      </c>
      <c r="AW5" s="77">
        <v>513</v>
      </c>
      <c r="AX5" s="77">
        <v>520.8</v>
      </c>
      <c r="AY5" s="77">
        <v>499.1</v>
      </c>
      <c r="AZ5" s="77">
        <v>496.25</v>
      </c>
      <c r="BA5" s="77">
        <v>496.15</v>
      </c>
      <c r="BB5" s="77">
        <v>492</v>
      </c>
      <c r="BC5" s="77">
        <v>489.75</v>
      </c>
      <c r="BD5" s="77">
        <v>487.35</v>
      </c>
      <c r="BE5" s="77">
        <v>490.65</v>
      </c>
      <c r="BF5" s="77">
        <v>504.2</v>
      </c>
      <c r="BG5" s="77">
        <v>507.7</v>
      </c>
      <c r="BH5" s="77">
        <v>511.3</v>
      </c>
      <c r="BI5" s="77">
        <v>517.6</v>
      </c>
      <c r="BJ5" s="77">
        <v>510.6</v>
      </c>
      <c r="BK5" s="77">
        <v>507</v>
      </c>
      <c r="BL5" s="77">
        <v>523.2</v>
      </c>
      <c r="BM5" s="77">
        <v>509.1</v>
      </c>
      <c r="BN5" s="77">
        <v>506.8</v>
      </c>
      <c r="BO5" s="77">
        <v>515.7</v>
      </c>
      <c r="BP5" s="77">
        <v>523.1</v>
      </c>
      <c r="BQ5" s="77">
        <v>520.5</v>
      </c>
      <c r="BR5" s="77">
        <v>524</v>
      </c>
      <c r="BS5" s="77">
        <v>542.9</v>
      </c>
      <c r="BT5" s="77">
        <v>553.1</v>
      </c>
      <c r="BU5" s="77">
        <v>540.4</v>
      </c>
      <c r="BV5" s="77">
        <v>560</v>
      </c>
      <c r="BW5" s="77">
        <v>575.5</v>
      </c>
      <c r="BX5" s="77">
        <v>559.2</v>
      </c>
      <c r="BY5" s="77">
        <v>546</v>
      </c>
      <c r="BZ5" s="77">
        <v>540.4</v>
      </c>
      <c r="CA5" s="77">
        <v>532.8</v>
      </c>
      <c r="CB5" s="77">
        <v>597.9</v>
      </c>
      <c r="CC5" s="77">
        <v>602.2</v>
      </c>
      <c r="CD5" s="77">
        <v>605.7</v>
      </c>
      <c r="CE5" s="77">
        <v>612.1</v>
      </c>
      <c r="CF5" s="77">
        <v>616.8</v>
      </c>
      <c r="CG5" s="77">
        <v>623.2</v>
      </c>
      <c r="CH5" s="77">
        <v>620.8</v>
      </c>
      <c r="CI5" s="77">
        <v>612.5</v>
      </c>
      <c r="CJ5" s="77">
        <v>611.5</v>
      </c>
      <c r="CK5" s="77">
        <v>614.6</v>
      </c>
    </row>
    <row r="6" spans="1:89">
      <c r="A6" s="14" t="s">
        <v>20</v>
      </c>
      <c r="B6" s="15" t="s">
        <v>21</v>
      </c>
      <c r="C6" s="16">
        <v>0.0831</v>
      </c>
      <c r="D6" s="16">
        <v>0.0226</v>
      </c>
      <c r="E6" s="49">
        <f t="shared" ref="E6:E44" si="2">D6*$D$1</f>
        <v>226000</v>
      </c>
      <c r="F6" s="50">
        <f t="shared" si="0"/>
        <v>992</v>
      </c>
      <c r="G6" s="51">
        <v>227.7</v>
      </c>
      <c r="H6" s="52">
        <v>225.45</v>
      </c>
      <c r="I6" s="52">
        <v>225.2</v>
      </c>
      <c r="J6" s="52">
        <v>223.65</v>
      </c>
      <c r="K6" s="52">
        <v>225.85</v>
      </c>
      <c r="L6" s="52">
        <v>222.55</v>
      </c>
      <c r="M6" s="52">
        <v>239.75</v>
      </c>
      <c r="N6" s="52">
        <v>237.15</v>
      </c>
      <c r="O6" s="77">
        <v>235.75</v>
      </c>
      <c r="P6" s="77">
        <v>231.8</v>
      </c>
      <c r="Q6" s="77">
        <v>236.15</v>
      </c>
      <c r="R6" s="77">
        <v>238.9</v>
      </c>
      <c r="S6" s="77">
        <v>236.25</v>
      </c>
      <c r="T6" s="77">
        <v>236.1</v>
      </c>
      <c r="U6" s="77">
        <v>238.25</v>
      </c>
      <c r="V6" s="77">
        <v>239.2</v>
      </c>
      <c r="W6" s="77">
        <v>228.25</v>
      </c>
      <c r="X6" s="77">
        <v>213.9</v>
      </c>
      <c r="Y6" s="77">
        <v>219.3</v>
      </c>
      <c r="Z6" s="77">
        <v>214.8</v>
      </c>
      <c r="AA6" s="16">
        <v>0.0898545254765265</v>
      </c>
      <c r="AB6" s="49">
        <f t="shared" ref="AB6:AB44" si="3">AA6*$D$1</f>
        <v>898545.254765265</v>
      </c>
      <c r="AC6" s="50">
        <f t="shared" si="1"/>
        <v>4078</v>
      </c>
      <c r="AD6" s="77">
        <v>214.85</v>
      </c>
      <c r="AE6" s="77">
        <v>220.3</v>
      </c>
      <c r="AF6" s="77">
        <v>222</v>
      </c>
      <c r="AG6" s="77">
        <v>218.65</v>
      </c>
      <c r="AH6" s="77">
        <v>222.2</v>
      </c>
      <c r="AI6" s="77">
        <v>218</v>
      </c>
      <c r="AJ6" s="77">
        <v>222</v>
      </c>
      <c r="AK6" s="77">
        <v>220.6</v>
      </c>
      <c r="AL6" s="77">
        <v>218.5</v>
      </c>
      <c r="AM6" s="77">
        <v>223.25</v>
      </c>
      <c r="AN6" s="77">
        <v>215.55</v>
      </c>
      <c r="AO6" s="77">
        <v>215</v>
      </c>
      <c r="AP6" s="77">
        <v>215.4</v>
      </c>
      <c r="AQ6" s="77">
        <v>213.25</v>
      </c>
      <c r="AR6" s="77">
        <v>210.8</v>
      </c>
      <c r="AS6" s="77">
        <v>211.45</v>
      </c>
      <c r="AT6" s="77">
        <v>213.7</v>
      </c>
      <c r="AU6" s="77">
        <v>210.05</v>
      </c>
      <c r="AV6" s="77">
        <v>210.25</v>
      </c>
      <c r="AW6" s="77">
        <v>211.1</v>
      </c>
      <c r="AX6" s="77">
        <v>217.25</v>
      </c>
      <c r="AY6" s="77">
        <v>217.25</v>
      </c>
      <c r="AZ6" s="77">
        <v>218.3</v>
      </c>
      <c r="BA6" s="77">
        <v>226.15</v>
      </c>
      <c r="BB6" s="77">
        <v>223.45</v>
      </c>
      <c r="BC6" s="77">
        <v>228.95</v>
      </c>
      <c r="BD6" s="77">
        <v>229.65</v>
      </c>
      <c r="BE6" s="77">
        <v>232</v>
      </c>
      <c r="BF6" s="77">
        <v>233.75</v>
      </c>
      <c r="BG6" s="77">
        <v>228.9</v>
      </c>
      <c r="BH6" s="77">
        <v>226.95</v>
      </c>
      <c r="BI6" s="77">
        <v>232.65</v>
      </c>
      <c r="BJ6" s="77">
        <v>231.1</v>
      </c>
      <c r="BK6" s="77">
        <v>230</v>
      </c>
      <c r="BL6" s="77">
        <v>230.55</v>
      </c>
      <c r="BM6" s="77">
        <v>232.4</v>
      </c>
      <c r="BN6" s="77">
        <v>231.05</v>
      </c>
      <c r="BO6" s="77">
        <v>235.25</v>
      </c>
      <c r="BP6" s="77">
        <v>234.25</v>
      </c>
      <c r="BQ6" s="77">
        <v>237.6</v>
      </c>
      <c r="BR6" s="77">
        <v>244.85</v>
      </c>
      <c r="BS6" s="77">
        <v>250.5</v>
      </c>
      <c r="BT6" s="77">
        <v>249.7</v>
      </c>
      <c r="BU6" s="77">
        <v>250</v>
      </c>
      <c r="BV6" s="77">
        <v>245.9</v>
      </c>
      <c r="BW6" s="77">
        <v>248.8</v>
      </c>
      <c r="BX6" s="77">
        <v>249</v>
      </c>
      <c r="BY6" s="77">
        <v>245.25</v>
      </c>
      <c r="BZ6" s="77">
        <v>246.9</v>
      </c>
      <c r="CA6" s="77">
        <v>245.15</v>
      </c>
      <c r="CB6" s="77">
        <v>247.05</v>
      </c>
      <c r="CC6" s="77">
        <v>252.35</v>
      </c>
      <c r="CD6" s="77">
        <v>246.1</v>
      </c>
      <c r="CE6" s="77">
        <v>248.25</v>
      </c>
      <c r="CF6" s="77">
        <v>249.75</v>
      </c>
      <c r="CG6" s="77">
        <v>246.55</v>
      </c>
      <c r="CH6" s="77">
        <v>249.1</v>
      </c>
      <c r="CI6" s="77">
        <v>253.65</v>
      </c>
      <c r="CJ6" s="77">
        <v>258.75</v>
      </c>
      <c r="CK6" s="77">
        <v>256.05</v>
      </c>
    </row>
    <row r="7" spans="1:89">
      <c r="A7" s="14" t="s">
        <v>22</v>
      </c>
      <c r="B7" s="15" t="s">
        <v>23</v>
      </c>
      <c r="C7" s="16">
        <v>0.0728</v>
      </c>
      <c r="D7" s="16">
        <v>0.0188</v>
      </c>
      <c r="E7" s="49">
        <f t="shared" si="2"/>
        <v>188000</v>
      </c>
      <c r="F7" s="50">
        <f t="shared" si="0"/>
        <v>3528</v>
      </c>
      <c r="G7" s="51">
        <v>53.28</v>
      </c>
      <c r="H7" s="52">
        <v>53.5</v>
      </c>
      <c r="I7" s="52">
        <v>53.87</v>
      </c>
      <c r="J7" s="52">
        <v>53.34</v>
      </c>
      <c r="K7" s="52">
        <v>53.48</v>
      </c>
      <c r="L7" s="52">
        <v>53.09</v>
      </c>
      <c r="M7" s="52">
        <v>52.97</v>
      </c>
      <c r="N7" s="52">
        <v>53.15</v>
      </c>
      <c r="O7" s="77">
        <v>52.86</v>
      </c>
      <c r="P7" s="77">
        <v>52.8</v>
      </c>
      <c r="Q7" s="77">
        <v>53.34</v>
      </c>
      <c r="R7" s="77">
        <v>51.46</v>
      </c>
      <c r="S7" s="77">
        <v>51.33</v>
      </c>
      <c r="T7" s="77">
        <v>52.4</v>
      </c>
      <c r="U7" s="77">
        <v>52.53</v>
      </c>
      <c r="V7" s="77">
        <v>52.29</v>
      </c>
      <c r="W7" s="77">
        <v>52.02</v>
      </c>
      <c r="X7" s="77">
        <v>51.07</v>
      </c>
      <c r="Y7" s="77">
        <v>51.58</v>
      </c>
      <c r="Z7" s="77">
        <v>51.9</v>
      </c>
      <c r="AA7" s="16">
        <v>0.04858658553</v>
      </c>
      <c r="AB7" s="49">
        <f t="shared" si="3"/>
        <v>485865.8553</v>
      </c>
      <c r="AC7" s="50">
        <f t="shared" si="1"/>
        <v>9275</v>
      </c>
      <c r="AD7" s="77">
        <v>52.5</v>
      </c>
      <c r="AE7" s="77">
        <v>52.38</v>
      </c>
      <c r="AF7" s="77">
        <v>52.71</v>
      </c>
      <c r="AG7" s="77">
        <v>52.52</v>
      </c>
      <c r="AH7" s="77">
        <v>53.17</v>
      </c>
      <c r="AI7" s="77">
        <v>52.51</v>
      </c>
      <c r="AJ7" s="77">
        <v>52.57</v>
      </c>
      <c r="AK7" s="77">
        <v>53.47</v>
      </c>
      <c r="AL7" s="77">
        <v>53.02</v>
      </c>
      <c r="AM7" s="77">
        <v>53.7</v>
      </c>
      <c r="AN7" s="77">
        <v>54.01</v>
      </c>
      <c r="AO7" s="77">
        <v>54.29</v>
      </c>
      <c r="AP7" s="77">
        <v>54.63</v>
      </c>
      <c r="AQ7" s="77">
        <v>54.1</v>
      </c>
      <c r="AR7" s="77">
        <v>52.91</v>
      </c>
      <c r="AS7" s="77">
        <v>53.21</v>
      </c>
      <c r="AT7" s="77">
        <v>53.1</v>
      </c>
      <c r="AU7" s="77">
        <v>53.5</v>
      </c>
      <c r="AV7" s="77">
        <v>53.45</v>
      </c>
      <c r="AW7" s="77">
        <v>53.53</v>
      </c>
      <c r="AX7" s="77">
        <v>52.78</v>
      </c>
      <c r="AY7" s="77">
        <v>52.76</v>
      </c>
      <c r="AZ7" s="77">
        <v>51.82</v>
      </c>
      <c r="BA7" s="77">
        <v>51.9</v>
      </c>
      <c r="BB7" s="77">
        <v>52.74</v>
      </c>
      <c r="BC7" s="77">
        <v>52.76</v>
      </c>
      <c r="BD7" s="77">
        <v>52.19</v>
      </c>
      <c r="BE7" s="77">
        <v>52.12</v>
      </c>
      <c r="BF7" s="77">
        <v>52.58</v>
      </c>
      <c r="BG7" s="77">
        <v>52.43</v>
      </c>
      <c r="BH7" s="77">
        <v>51.73</v>
      </c>
      <c r="BI7" s="77">
        <v>52.03</v>
      </c>
      <c r="BJ7" s="77">
        <v>51.57</v>
      </c>
      <c r="BK7" s="77">
        <v>51.73</v>
      </c>
      <c r="BL7" s="77">
        <v>52.39</v>
      </c>
      <c r="BM7" s="77">
        <v>53.5</v>
      </c>
      <c r="BN7" s="77">
        <v>53.38</v>
      </c>
      <c r="BO7" s="77">
        <v>54.25</v>
      </c>
      <c r="BP7" s="77">
        <v>53.05</v>
      </c>
      <c r="BQ7" s="77">
        <v>51.73</v>
      </c>
      <c r="BR7" s="77">
        <v>51.59</v>
      </c>
      <c r="BS7" s="77">
        <v>50.98</v>
      </c>
      <c r="BT7" s="77">
        <v>51.06</v>
      </c>
      <c r="BU7" s="77">
        <v>51.31</v>
      </c>
      <c r="BV7" s="77">
        <v>50.87</v>
      </c>
      <c r="BW7" s="77">
        <v>51.12</v>
      </c>
      <c r="BX7" s="77">
        <v>51.14</v>
      </c>
      <c r="BY7" s="77">
        <v>50</v>
      </c>
      <c r="BZ7" s="77">
        <v>49.845</v>
      </c>
      <c r="CA7" s="77">
        <v>50.25</v>
      </c>
      <c r="CB7" s="77">
        <v>52.11</v>
      </c>
      <c r="CC7" s="77">
        <v>52.57</v>
      </c>
      <c r="CD7" s="77">
        <v>52.71</v>
      </c>
      <c r="CE7" s="77">
        <v>52.5</v>
      </c>
      <c r="CF7" s="77">
        <v>52.65</v>
      </c>
      <c r="CG7" s="77">
        <v>53.03</v>
      </c>
      <c r="CH7" s="77">
        <v>54.1</v>
      </c>
      <c r="CI7" s="77">
        <v>53.91</v>
      </c>
      <c r="CJ7" s="77">
        <v>53.77</v>
      </c>
      <c r="CK7" s="77">
        <v>53.48</v>
      </c>
    </row>
    <row r="8" spans="1:89">
      <c r="A8" s="14" t="s">
        <v>24</v>
      </c>
      <c r="B8" s="15" t="s">
        <v>25</v>
      </c>
      <c r="C8" s="16">
        <v>0.0641</v>
      </c>
      <c r="D8" s="16">
        <v>0.0117</v>
      </c>
      <c r="E8" s="49">
        <f t="shared" si="2"/>
        <v>117000</v>
      </c>
      <c r="F8" s="50">
        <f t="shared" si="0"/>
        <v>1404</v>
      </c>
      <c r="G8" s="51">
        <v>83.32</v>
      </c>
      <c r="H8" s="52">
        <v>84.16</v>
      </c>
      <c r="I8" s="52">
        <v>83.03</v>
      </c>
      <c r="J8" s="52">
        <v>83.54</v>
      </c>
      <c r="K8" s="52">
        <v>82.7</v>
      </c>
      <c r="L8" s="52">
        <v>83.2</v>
      </c>
      <c r="M8" s="52">
        <v>83.54</v>
      </c>
      <c r="N8" s="52">
        <v>83.12</v>
      </c>
      <c r="O8" s="77">
        <v>82.3</v>
      </c>
      <c r="P8" s="77">
        <v>82.55</v>
      </c>
      <c r="Q8" s="77">
        <v>84.65</v>
      </c>
      <c r="R8" s="77">
        <v>85.22</v>
      </c>
      <c r="S8" s="77">
        <v>85.11</v>
      </c>
      <c r="T8" s="77">
        <v>85.5</v>
      </c>
      <c r="U8" s="77">
        <v>85.85</v>
      </c>
      <c r="V8" s="77">
        <v>85.52</v>
      </c>
      <c r="W8" s="77">
        <v>78.84</v>
      </c>
      <c r="X8" s="77">
        <v>80.34</v>
      </c>
      <c r="Y8" s="77">
        <v>82</v>
      </c>
      <c r="Z8" s="77">
        <v>82.03</v>
      </c>
      <c r="AA8" s="16">
        <v>0.0798523214586521</v>
      </c>
      <c r="AB8" s="49">
        <f t="shared" si="3"/>
        <v>798523.214586521</v>
      </c>
      <c r="AC8" s="50">
        <f t="shared" si="1"/>
        <v>9877</v>
      </c>
      <c r="AD8" s="77">
        <v>79.67</v>
      </c>
      <c r="AE8" s="77">
        <v>80.84</v>
      </c>
      <c r="AF8" s="77">
        <v>80.93</v>
      </c>
      <c r="AG8" s="77">
        <v>81.34</v>
      </c>
      <c r="AH8" s="77">
        <v>81.65</v>
      </c>
      <c r="AI8" s="77">
        <v>83.18</v>
      </c>
      <c r="AJ8" s="77">
        <v>83.54</v>
      </c>
      <c r="AK8" s="77">
        <v>84.95</v>
      </c>
      <c r="AL8" s="77">
        <v>85.58</v>
      </c>
      <c r="AM8" s="77">
        <v>86.49</v>
      </c>
      <c r="AN8" s="77">
        <v>87.03</v>
      </c>
      <c r="AO8" s="77">
        <v>87.47</v>
      </c>
      <c r="AP8" s="77">
        <v>87.34</v>
      </c>
      <c r="AQ8" s="77">
        <v>86.26</v>
      </c>
      <c r="AR8" s="77">
        <v>86.28</v>
      </c>
      <c r="AS8" s="77">
        <v>86.54</v>
      </c>
      <c r="AT8" s="77">
        <v>85.36</v>
      </c>
      <c r="AU8" s="77">
        <v>84.49</v>
      </c>
      <c r="AV8" s="77">
        <v>84.69</v>
      </c>
      <c r="AW8" s="77">
        <v>84.51</v>
      </c>
      <c r="AX8" s="77">
        <v>86.12</v>
      </c>
      <c r="AY8" s="77">
        <v>78.96</v>
      </c>
      <c r="AZ8" s="77">
        <v>79.5</v>
      </c>
      <c r="BA8" s="77">
        <v>79.13</v>
      </c>
      <c r="BB8" s="77">
        <v>80.77</v>
      </c>
      <c r="BC8" s="77">
        <v>80.28</v>
      </c>
      <c r="BD8" s="77">
        <v>80.74</v>
      </c>
      <c r="BE8" s="77">
        <v>80.7</v>
      </c>
      <c r="BF8" s="77">
        <v>79.51</v>
      </c>
      <c r="BG8" s="77">
        <v>78.84</v>
      </c>
      <c r="BH8" s="77">
        <v>79.44</v>
      </c>
      <c r="BI8" s="77">
        <v>80.15</v>
      </c>
      <c r="BJ8" s="77">
        <v>80.46</v>
      </c>
      <c r="BK8" s="77">
        <v>80.23</v>
      </c>
      <c r="BL8" s="77">
        <v>79.26</v>
      </c>
      <c r="BM8" s="77">
        <v>79.5</v>
      </c>
      <c r="BN8" s="77">
        <v>77.52</v>
      </c>
      <c r="BO8" s="77">
        <v>78.32</v>
      </c>
      <c r="BP8" s="77">
        <v>78.28</v>
      </c>
      <c r="BQ8" s="77">
        <v>78.55</v>
      </c>
      <c r="BR8" s="77">
        <v>85.18</v>
      </c>
      <c r="BS8" s="77">
        <v>85.04</v>
      </c>
      <c r="BT8" s="77">
        <v>86.8</v>
      </c>
      <c r="BU8" s="77">
        <v>85.78</v>
      </c>
      <c r="BV8" s="77">
        <v>84.84</v>
      </c>
      <c r="BW8" s="77">
        <v>84.59</v>
      </c>
      <c r="BX8" s="77">
        <v>84.82</v>
      </c>
      <c r="BY8" s="77">
        <v>83.34</v>
      </c>
      <c r="BZ8" s="77">
        <v>84.16</v>
      </c>
      <c r="CA8" s="77">
        <v>83.94</v>
      </c>
      <c r="CB8" s="77">
        <v>84.28</v>
      </c>
      <c r="CC8" s="77">
        <v>86.33</v>
      </c>
      <c r="CD8" s="77">
        <v>86.43</v>
      </c>
      <c r="CE8" s="77">
        <v>86.58</v>
      </c>
      <c r="CF8" s="77">
        <v>86.29</v>
      </c>
      <c r="CG8" s="77">
        <v>86.72</v>
      </c>
      <c r="CH8" s="77">
        <v>86.61</v>
      </c>
      <c r="CI8" s="77">
        <v>88.79</v>
      </c>
      <c r="CJ8" s="77">
        <v>88.13</v>
      </c>
      <c r="CK8" s="77">
        <v>87.25</v>
      </c>
    </row>
    <row r="9" spans="1:89">
      <c r="A9" s="14" t="s">
        <v>26</v>
      </c>
      <c r="B9" s="15" t="s">
        <v>27</v>
      </c>
      <c r="C9" s="16">
        <v>0.0551</v>
      </c>
      <c r="D9" s="16">
        <v>0.0466</v>
      </c>
      <c r="E9" s="49">
        <f t="shared" si="2"/>
        <v>466000</v>
      </c>
      <c r="F9" s="50">
        <f t="shared" si="0"/>
        <v>2555</v>
      </c>
      <c r="G9" s="51">
        <v>182.36</v>
      </c>
      <c r="H9" s="52">
        <v>183.3</v>
      </c>
      <c r="I9" s="52">
        <v>183.22</v>
      </c>
      <c r="J9" s="52">
        <v>183</v>
      </c>
      <c r="K9" s="52">
        <v>180.14</v>
      </c>
      <c r="L9" s="52">
        <v>181</v>
      </c>
      <c r="M9" s="52">
        <v>185.28</v>
      </c>
      <c r="N9" s="52">
        <v>186.22</v>
      </c>
      <c r="O9" s="77">
        <v>186.02</v>
      </c>
      <c r="P9" s="77">
        <v>181.32</v>
      </c>
      <c r="Q9" s="77">
        <v>183.38</v>
      </c>
      <c r="R9" s="77">
        <v>182.6</v>
      </c>
      <c r="S9" s="77">
        <v>180.2</v>
      </c>
      <c r="T9" s="77">
        <v>177.64</v>
      </c>
      <c r="U9" s="77">
        <v>179.44</v>
      </c>
      <c r="V9" s="77">
        <v>178.86</v>
      </c>
      <c r="W9" s="77">
        <v>176.04</v>
      </c>
      <c r="X9" s="77">
        <v>169.1</v>
      </c>
      <c r="Y9" s="77">
        <v>172.32</v>
      </c>
      <c r="Z9" s="77">
        <v>175.2</v>
      </c>
      <c r="AA9" s="16">
        <v>0.085412874268</v>
      </c>
      <c r="AB9" s="49">
        <f t="shared" si="3"/>
        <v>854128.74268</v>
      </c>
      <c r="AC9" s="50">
        <f t="shared" si="1"/>
        <v>4814</v>
      </c>
      <c r="AD9" s="77">
        <v>177.9</v>
      </c>
      <c r="AE9" s="77">
        <v>177.4</v>
      </c>
      <c r="AF9" s="77">
        <v>176.22</v>
      </c>
      <c r="AG9" s="77">
        <v>175.8</v>
      </c>
      <c r="AH9" s="77">
        <v>180.86</v>
      </c>
      <c r="AI9" s="77">
        <v>179.56</v>
      </c>
      <c r="AJ9" s="77">
        <v>183.78</v>
      </c>
      <c r="AK9" s="77">
        <v>186.88</v>
      </c>
      <c r="AL9" s="77">
        <v>184.22</v>
      </c>
      <c r="AM9" s="77">
        <v>183.84</v>
      </c>
      <c r="AN9" s="77">
        <v>179.14</v>
      </c>
      <c r="AO9" s="77">
        <v>180.92</v>
      </c>
      <c r="AP9" s="77">
        <v>180.72</v>
      </c>
      <c r="AQ9" s="77">
        <v>180.54</v>
      </c>
      <c r="AR9" s="77">
        <v>179.88</v>
      </c>
      <c r="AS9" s="77">
        <v>178.26</v>
      </c>
      <c r="AT9" s="77">
        <v>178.62</v>
      </c>
      <c r="AU9" s="77">
        <v>179.06</v>
      </c>
      <c r="AV9" s="77">
        <v>182</v>
      </c>
      <c r="AW9" s="77">
        <v>179.16</v>
      </c>
      <c r="AX9" s="77">
        <v>184.7</v>
      </c>
      <c r="AY9" s="77">
        <v>186.86</v>
      </c>
      <c r="AZ9" s="77">
        <v>183.84</v>
      </c>
      <c r="BA9" s="77">
        <v>187.82</v>
      </c>
      <c r="BB9" s="77">
        <v>187.54</v>
      </c>
      <c r="BC9" s="77">
        <v>188.56</v>
      </c>
      <c r="BD9" s="77">
        <v>194</v>
      </c>
      <c r="BE9" s="77">
        <v>193.22</v>
      </c>
      <c r="BF9" s="77">
        <v>196.3</v>
      </c>
      <c r="BG9" s="77">
        <v>192.92</v>
      </c>
      <c r="BH9" s="77">
        <v>191.7</v>
      </c>
      <c r="BI9" s="77">
        <v>191.7</v>
      </c>
      <c r="BJ9" s="77">
        <v>193.86</v>
      </c>
      <c r="BK9" s="77">
        <v>195.14</v>
      </c>
      <c r="BL9" s="77">
        <v>194.26</v>
      </c>
      <c r="BM9" s="77">
        <v>193.82</v>
      </c>
      <c r="BN9" s="77">
        <v>193.86</v>
      </c>
      <c r="BO9" s="77">
        <v>195.72</v>
      </c>
      <c r="BP9" s="77">
        <v>195.78</v>
      </c>
      <c r="BQ9" s="77">
        <v>197.4</v>
      </c>
      <c r="BR9" s="77">
        <v>199.08</v>
      </c>
      <c r="BS9" s="77">
        <v>202.05</v>
      </c>
      <c r="BT9" s="77">
        <v>203.55</v>
      </c>
      <c r="BU9" s="77">
        <v>201.1</v>
      </c>
      <c r="BV9" s="77">
        <v>202.45</v>
      </c>
      <c r="BW9" s="77">
        <v>205.3</v>
      </c>
      <c r="BX9" s="77">
        <v>204.65</v>
      </c>
      <c r="BY9" s="77">
        <v>202</v>
      </c>
      <c r="BZ9" s="77">
        <v>202.35</v>
      </c>
      <c r="CA9" s="77">
        <v>203.3</v>
      </c>
      <c r="CB9" s="77">
        <v>203</v>
      </c>
      <c r="CC9" s="77">
        <v>205.45</v>
      </c>
      <c r="CD9" s="77">
        <v>200.4</v>
      </c>
      <c r="CE9" s="77">
        <v>203.7</v>
      </c>
      <c r="CF9" s="77">
        <v>207.35</v>
      </c>
      <c r="CG9" s="77">
        <v>205.8</v>
      </c>
      <c r="CH9" s="77">
        <v>207.25</v>
      </c>
      <c r="CI9" s="77">
        <v>208.45</v>
      </c>
      <c r="CJ9" s="77">
        <v>208.6</v>
      </c>
      <c r="CK9" s="77">
        <v>207.75</v>
      </c>
    </row>
    <row r="10" spans="1:89">
      <c r="A10" s="14" t="s">
        <v>28</v>
      </c>
      <c r="B10" s="15" t="s">
        <v>29</v>
      </c>
      <c r="C10" s="16">
        <v>0.0544</v>
      </c>
      <c r="D10" s="16">
        <v>0.031</v>
      </c>
      <c r="E10" s="49">
        <f t="shared" si="2"/>
        <v>310000</v>
      </c>
      <c r="F10" s="50">
        <f t="shared" si="0"/>
        <v>1752</v>
      </c>
      <c r="G10" s="51">
        <v>176.92</v>
      </c>
      <c r="H10" s="52">
        <v>176.5</v>
      </c>
      <c r="I10" s="52">
        <v>175.1</v>
      </c>
      <c r="J10" s="52">
        <v>174.86</v>
      </c>
      <c r="K10" s="52">
        <v>173.8</v>
      </c>
      <c r="L10" s="52">
        <v>173.14</v>
      </c>
      <c r="M10" s="52">
        <v>173.98</v>
      </c>
      <c r="N10" s="52">
        <v>172</v>
      </c>
      <c r="O10" s="77">
        <v>172.14</v>
      </c>
      <c r="P10" s="77">
        <v>171.62</v>
      </c>
      <c r="Q10" s="77">
        <v>172.24</v>
      </c>
      <c r="R10" s="77">
        <v>172.9</v>
      </c>
      <c r="S10" s="77">
        <v>171.68</v>
      </c>
      <c r="T10" s="77">
        <v>172.4</v>
      </c>
      <c r="U10" s="77">
        <v>175.32</v>
      </c>
      <c r="V10" s="77">
        <v>174.32</v>
      </c>
      <c r="W10" s="77">
        <v>172.8</v>
      </c>
      <c r="X10" s="77">
        <v>170.22</v>
      </c>
      <c r="Y10" s="77">
        <v>172.24</v>
      </c>
      <c r="Z10" s="77">
        <v>173</v>
      </c>
      <c r="AA10" s="16">
        <v>0.044545684568412</v>
      </c>
      <c r="AB10" s="49">
        <f t="shared" si="3"/>
        <v>445456.84568412</v>
      </c>
      <c r="AC10" s="50">
        <f t="shared" si="1"/>
        <v>2566</v>
      </c>
      <c r="AD10" s="77">
        <v>171.76</v>
      </c>
      <c r="AE10" s="77">
        <v>173.58</v>
      </c>
      <c r="AF10" s="77">
        <v>173.78</v>
      </c>
      <c r="AG10" s="77">
        <v>172.5</v>
      </c>
      <c r="AH10" s="77">
        <v>173.68</v>
      </c>
      <c r="AI10" s="77">
        <v>175.74</v>
      </c>
      <c r="AJ10" s="77">
        <v>178.62</v>
      </c>
      <c r="AK10" s="77">
        <v>180.22</v>
      </c>
      <c r="AL10" s="77">
        <v>180</v>
      </c>
      <c r="AM10" s="77">
        <v>183.26</v>
      </c>
      <c r="AN10" s="77">
        <v>185</v>
      </c>
      <c r="AO10" s="77">
        <v>183.3</v>
      </c>
      <c r="AP10" s="77">
        <v>183.12</v>
      </c>
      <c r="AQ10" s="77">
        <v>180.68</v>
      </c>
      <c r="AR10" s="77">
        <v>176.66</v>
      </c>
      <c r="AS10" s="77">
        <v>178.06</v>
      </c>
      <c r="AT10" s="77">
        <v>177.4</v>
      </c>
      <c r="AU10" s="77">
        <v>176.22</v>
      </c>
      <c r="AV10" s="77">
        <v>176.3</v>
      </c>
      <c r="AW10" s="77">
        <v>174.9</v>
      </c>
      <c r="AX10" s="77">
        <v>175.74</v>
      </c>
      <c r="AY10" s="77">
        <v>176.2</v>
      </c>
      <c r="AZ10" s="77">
        <v>175.38</v>
      </c>
      <c r="BA10" s="77">
        <v>176.92</v>
      </c>
      <c r="BB10" s="77">
        <v>176.98</v>
      </c>
      <c r="BC10" s="77">
        <v>174.48</v>
      </c>
      <c r="BD10" s="77">
        <v>177.22</v>
      </c>
      <c r="BE10" s="77">
        <v>177.24</v>
      </c>
      <c r="BF10" s="77">
        <v>177.16</v>
      </c>
      <c r="BG10" s="77">
        <v>174.48</v>
      </c>
      <c r="BH10" s="77">
        <v>174.16</v>
      </c>
      <c r="BI10" s="77">
        <v>174.62</v>
      </c>
      <c r="BJ10" s="77">
        <v>175.68</v>
      </c>
      <c r="BK10" s="77">
        <v>174.6</v>
      </c>
      <c r="BL10" s="77">
        <v>175.34</v>
      </c>
      <c r="BM10" s="77">
        <v>173.32</v>
      </c>
      <c r="BN10" s="77">
        <v>174</v>
      </c>
      <c r="BO10" s="77">
        <v>175.46</v>
      </c>
      <c r="BP10" s="77">
        <v>176.42</v>
      </c>
      <c r="BQ10" s="77">
        <v>176.86</v>
      </c>
      <c r="BR10" s="77">
        <v>175.92</v>
      </c>
      <c r="BS10" s="77">
        <v>176.58</v>
      </c>
      <c r="BT10" s="77">
        <v>171.68</v>
      </c>
      <c r="BU10" s="77">
        <v>170.06</v>
      </c>
      <c r="BV10" s="77">
        <v>169.46</v>
      </c>
      <c r="BW10" s="77">
        <v>169.8</v>
      </c>
      <c r="BX10" s="77">
        <v>171.46</v>
      </c>
      <c r="BY10" s="77">
        <v>169.6</v>
      </c>
      <c r="BZ10" s="77">
        <v>171.26</v>
      </c>
      <c r="CA10" s="77">
        <v>171.42</v>
      </c>
      <c r="CB10" s="77">
        <v>171.24</v>
      </c>
      <c r="CC10" s="77">
        <v>174</v>
      </c>
      <c r="CD10" s="77">
        <v>172.82</v>
      </c>
      <c r="CE10" s="77">
        <v>173.24</v>
      </c>
      <c r="CF10" s="77">
        <v>173.04</v>
      </c>
      <c r="CG10" s="77">
        <v>172.4</v>
      </c>
      <c r="CH10" s="77">
        <v>172.88</v>
      </c>
      <c r="CI10" s="77">
        <v>172.5</v>
      </c>
      <c r="CJ10" s="77">
        <v>172.36</v>
      </c>
      <c r="CK10" s="77">
        <v>173.86</v>
      </c>
    </row>
    <row r="11" spans="1:89">
      <c r="A11" s="14" t="s">
        <v>30</v>
      </c>
      <c r="B11" s="15" t="s">
        <v>31</v>
      </c>
      <c r="C11" s="16">
        <v>0.0493</v>
      </c>
      <c r="D11" s="16">
        <v>0.0316</v>
      </c>
      <c r="E11" s="49">
        <f t="shared" si="2"/>
        <v>316000</v>
      </c>
      <c r="F11" s="50">
        <f t="shared" si="0"/>
        <v>844</v>
      </c>
      <c r="G11" s="51">
        <v>374.35</v>
      </c>
      <c r="H11" s="52">
        <v>382.25</v>
      </c>
      <c r="I11" s="52">
        <v>373.85</v>
      </c>
      <c r="J11" s="52">
        <v>373.1</v>
      </c>
      <c r="K11" s="52">
        <v>367.6</v>
      </c>
      <c r="L11" s="52">
        <v>364</v>
      </c>
      <c r="M11" s="52">
        <v>364.05</v>
      </c>
      <c r="N11" s="52">
        <v>362.55</v>
      </c>
      <c r="O11" s="77">
        <v>362.7</v>
      </c>
      <c r="P11" s="77">
        <v>367.95</v>
      </c>
      <c r="Q11" s="77">
        <v>374.95</v>
      </c>
      <c r="R11" s="77">
        <v>373.65</v>
      </c>
      <c r="S11" s="77">
        <v>374.7</v>
      </c>
      <c r="T11" s="77">
        <v>373.6</v>
      </c>
      <c r="U11" s="77">
        <v>373.6</v>
      </c>
      <c r="V11" s="77">
        <v>388.55</v>
      </c>
      <c r="W11" s="77">
        <v>389.35</v>
      </c>
      <c r="X11" s="77">
        <v>376.1</v>
      </c>
      <c r="Y11" s="77">
        <v>379.85</v>
      </c>
      <c r="Z11" s="77">
        <v>373.3</v>
      </c>
      <c r="AA11" s="16">
        <v>0.0765896524785621</v>
      </c>
      <c r="AB11" s="49">
        <f t="shared" si="3"/>
        <v>765896.524785621</v>
      </c>
      <c r="AC11" s="50">
        <f t="shared" si="1"/>
        <v>2004</v>
      </c>
      <c r="AD11" s="77">
        <v>374.65</v>
      </c>
      <c r="AE11" s="77">
        <v>382.15</v>
      </c>
      <c r="AF11" s="77">
        <v>384.35</v>
      </c>
      <c r="AG11" s="77">
        <v>380.4</v>
      </c>
      <c r="AH11" s="77">
        <v>379.35</v>
      </c>
      <c r="AI11" s="77">
        <v>388.15</v>
      </c>
      <c r="AJ11" s="77">
        <v>388.75</v>
      </c>
      <c r="AK11" s="77">
        <v>392.9</v>
      </c>
      <c r="AL11" s="77">
        <v>393.3</v>
      </c>
      <c r="AM11" s="77">
        <v>400</v>
      </c>
      <c r="AN11" s="77">
        <v>406.7</v>
      </c>
      <c r="AO11" s="77">
        <v>400.7</v>
      </c>
      <c r="AP11" s="77">
        <v>399</v>
      </c>
      <c r="AQ11" s="77">
        <v>397.1</v>
      </c>
      <c r="AR11" s="77">
        <v>396.7</v>
      </c>
      <c r="AS11" s="77">
        <v>401.25</v>
      </c>
      <c r="AT11" s="77">
        <v>402.35</v>
      </c>
      <c r="AU11" s="77">
        <v>397.9</v>
      </c>
      <c r="AV11" s="77">
        <v>396.95</v>
      </c>
      <c r="AW11" s="77">
        <v>396.8</v>
      </c>
      <c r="AX11" s="77">
        <v>399.6</v>
      </c>
      <c r="AY11" s="77">
        <v>404.4</v>
      </c>
      <c r="AZ11" s="77">
        <v>402.65</v>
      </c>
      <c r="BA11" s="77">
        <v>402.15</v>
      </c>
      <c r="BB11" s="77">
        <v>396.35</v>
      </c>
      <c r="BC11" s="77">
        <v>388.15</v>
      </c>
      <c r="BD11" s="77">
        <v>383.85</v>
      </c>
      <c r="BE11" s="77">
        <v>381.05</v>
      </c>
      <c r="BF11" s="77">
        <v>388.6</v>
      </c>
      <c r="BG11" s="77">
        <v>377.35</v>
      </c>
      <c r="BH11" s="77">
        <v>377.15</v>
      </c>
      <c r="BI11" s="77">
        <v>378.2</v>
      </c>
      <c r="BJ11" s="77">
        <v>369.65</v>
      </c>
      <c r="BK11" s="77">
        <v>362</v>
      </c>
      <c r="BL11" s="77">
        <v>374.7</v>
      </c>
      <c r="BM11" s="77">
        <v>367.1</v>
      </c>
      <c r="BN11" s="77">
        <v>366.1</v>
      </c>
      <c r="BO11" s="77">
        <v>366.9</v>
      </c>
      <c r="BP11" s="77">
        <v>365.05</v>
      </c>
      <c r="BQ11" s="77">
        <v>368.5</v>
      </c>
      <c r="BR11" s="77">
        <v>366.35</v>
      </c>
      <c r="BS11" s="77">
        <v>374.2</v>
      </c>
      <c r="BT11" s="77">
        <v>376.55</v>
      </c>
      <c r="BU11" s="77">
        <v>374</v>
      </c>
      <c r="BV11" s="77">
        <v>379.25</v>
      </c>
      <c r="BW11" s="77">
        <v>383.1</v>
      </c>
      <c r="BX11" s="77">
        <v>376.15</v>
      </c>
      <c r="BY11" s="77">
        <v>369.65</v>
      </c>
      <c r="BZ11" s="77">
        <v>370</v>
      </c>
      <c r="CA11" s="77">
        <v>368.5</v>
      </c>
      <c r="CB11" s="77">
        <v>380.05</v>
      </c>
      <c r="CC11" s="77">
        <v>386.35</v>
      </c>
      <c r="CD11" s="77">
        <v>390.65</v>
      </c>
      <c r="CE11" s="77">
        <v>395.35</v>
      </c>
      <c r="CF11" s="77">
        <v>398</v>
      </c>
      <c r="CG11" s="77">
        <v>371.35</v>
      </c>
      <c r="CH11" s="77">
        <v>375.25</v>
      </c>
      <c r="CI11" s="77">
        <v>374.7</v>
      </c>
      <c r="CJ11" s="77">
        <v>375.65</v>
      </c>
      <c r="CK11" s="77">
        <v>370.45</v>
      </c>
    </row>
    <row r="12" spans="1:89">
      <c r="A12" s="14" t="s">
        <v>32</v>
      </c>
      <c r="B12" s="15" t="s">
        <v>33</v>
      </c>
      <c r="C12" s="16">
        <v>0.0461</v>
      </c>
      <c r="D12" s="16">
        <v>0.0632</v>
      </c>
      <c r="E12" s="49">
        <f t="shared" si="2"/>
        <v>632000</v>
      </c>
      <c r="F12" s="50">
        <f t="shared" si="0"/>
        <v>2260</v>
      </c>
      <c r="G12" s="51">
        <v>279.6</v>
      </c>
      <c r="H12" s="52">
        <v>276</v>
      </c>
      <c r="I12" s="52">
        <v>279.5</v>
      </c>
      <c r="J12" s="52">
        <v>281.2</v>
      </c>
      <c r="K12" s="52">
        <v>279.9</v>
      </c>
      <c r="L12" s="52">
        <v>280</v>
      </c>
      <c r="M12" s="52">
        <v>283.8</v>
      </c>
      <c r="N12" s="52">
        <v>285.3</v>
      </c>
      <c r="O12" s="77">
        <v>283.1</v>
      </c>
      <c r="P12" s="77">
        <v>275.5</v>
      </c>
      <c r="Q12" s="77">
        <v>278.6</v>
      </c>
      <c r="R12" s="77">
        <v>279.1</v>
      </c>
      <c r="S12" s="77">
        <v>277.5</v>
      </c>
      <c r="T12" s="77">
        <v>275.8</v>
      </c>
      <c r="U12" s="77">
        <v>281.7</v>
      </c>
      <c r="V12" s="77">
        <v>280.8</v>
      </c>
      <c r="W12" s="77">
        <v>289.5</v>
      </c>
      <c r="X12" s="77">
        <v>280.3</v>
      </c>
      <c r="Y12" s="77">
        <v>287.7</v>
      </c>
      <c r="Z12" s="77">
        <v>287.5</v>
      </c>
      <c r="AA12" s="16">
        <v>0.00985412325421452</v>
      </c>
      <c r="AB12" s="49">
        <f t="shared" si="3"/>
        <v>98541.2325421452</v>
      </c>
      <c r="AC12" s="50">
        <f t="shared" si="1"/>
        <v>338</v>
      </c>
      <c r="AD12" s="77">
        <v>290.1</v>
      </c>
      <c r="AE12" s="77">
        <v>291.2</v>
      </c>
      <c r="AF12" s="77">
        <v>291.2</v>
      </c>
      <c r="AG12" s="77">
        <v>287.2</v>
      </c>
      <c r="AH12" s="77">
        <v>290.6</v>
      </c>
      <c r="AI12" s="77">
        <v>289.4</v>
      </c>
      <c r="AJ12" s="77">
        <v>293.6</v>
      </c>
      <c r="AK12" s="77">
        <v>291.8</v>
      </c>
      <c r="AL12" s="77">
        <v>293</v>
      </c>
      <c r="AM12" s="77">
        <v>292.1</v>
      </c>
      <c r="AN12" s="77">
        <v>289.2</v>
      </c>
      <c r="AO12" s="77">
        <v>292.5</v>
      </c>
      <c r="AP12" s="77">
        <v>290.5</v>
      </c>
      <c r="AQ12" s="77">
        <v>289.9</v>
      </c>
      <c r="AR12" s="77">
        <v>288</v>
      </c>
      <c r="AS12" s="77">
        <v>287.2</v>
      </c>
      <c r="AT12" s="77">
        <v>287.8</v>
      </c>
      <c r="AU12" s="77">
        <v>284.9</v>
      </c>
      <c r="AV12" s="77">
        <v>285.6</v>
      </c>
      <c r="AW12" s="77">
        <v>279.5</v>
      </c>
      <c r="AX12" s="77">
        <v>281.6</v>
      </c>
      <c r="AY12" s="77">
        <v>280.9</v>
      </c>
      <c r="AZ12" s="77">
        <v>278.2</v>
      </c>
      <c r="BA12" s="77">
        <v>279.4</v>
      </c>
      <c r="BB12" s="77">
        <v>280</v>
      </c>
      <c r="BC12" s="77">
        <v>280.9</v>
      </c>
      <c r="BD12" s="77">
        <v>285.2</v>
      </c>
      <c r="BE12" s="77">
        <v>285.6</v>
      </c>
      <c r="BF12" s="77">
        <v>288.5</v>
      </c>
      <c r="BG12" s="77">
        <v>283.8</v>
      </c>
      <c r="BH12" s="77">
        <v>279.8</v>
      </c>
      <c r="BI12" s="77">
        <v>284.8</v>
      </c>
      <c r="BJ12" s="77">
        <v>291.6</v>
      </c>
      <c r="BK12" s="77">
        <v>294.4</v>
      </c>
      <c r="BL12" s="77">
        <v>291.6</v>
      </c>
      <c r="BM12" s="77">
        <v>292.6</v>
      </c>
      <c r="BN12" s="77">
        <v>292.2</v>
      </c>
      <c r="BO12" s="77">
        <v>296</v>
      </c>
      <c r="BP12" s="77">
        <v>295.8</v>
      </c>
      <c r="BQ12" s="77">
        <v>300.1</v>
      </c>
      <c r="BR12" s="77">
        <v>298.4</v>
      </c>
      <c r="BS12" s="77">
        <v>303.6</v>
      </c>
      <c r="BT12" s="77">
        <v>303.1</v>
      </c>
      <c r="BU12" s="77">
        <v>298.1</v>
      </c>
      <c r="BV12" s="77">
        <v>298.7</v>
      </c>
      <c r="BW12" s="77">
        <v>303.8</v>
      </c>
      <c r="BX12" s="77">
        <v>303</v>
      </c>
      <c r="BY12" s="77">
        <v>297.3</v>
      </c>
      <c r="BZ12" s="77">
        <v>298.1</v>
      </c>
      <c r="CA12" s="77">
        <v>299.5</v>
      </c>
      <c r="CB12" s="77">
        <v>296.7</v>
      </c>
      <c r="CC12" s="77">
        <v>302.8</v>
      </c>
      <c r="CD12" s="77">
        <v>296.9</v>
      </c>
      <c r="CE12" s="77">
        <v>303.1</v>
      </c>
      <c r="CF12" s="77">
        <v>308.1</v>
      </c>
      <c r="CG12" s="77">
        <v>304.1</v>
      </c>
      <c r="CH12" s="77">
        <v>307.8</v>
      </c>
      <c r="CI12" s="77">
        <v>304.5</v>
      </c>
      <c r="CJ12" s="77">
        <v>303.6</v>
      </c>
      <c r="CK12" s="77">
        <v>305.3</v>
      </c>
    </row>
    <row r="13" spans="1:89">
      <c r="A13" s="14" t="s">
        <v>34</v>
      </c>
      <c r="B13" s="15" t="s">
        <v>35</v>
      </c>
      <c r="C13" s="16">
        <v>0.0452</v>
      </c>
      <c r="D13" s="16">
        <v>0.0327</v>
      </c>
      <c r="E13" s="49">
        <f t="shared" si="2"/>
        <v>327000</v>
      </c>
      <c r="F13" s="50">
        <f t="shared" si="0"/>
        <v>1293</v>
      </c>
      <c r="G13" s="51">
        <v>252.9</v>
      </c>
      <c r="H13" s="52">
        <v>250</v>
      </c>
      <c r="I13" s="52">
        <v>242.4</v>
      </c>
      <c r="J13" s="52">
        <v>243.8</v>
      </c>
      <c r="K13" s="52">
        <v>242.2</v>
      </c>
      <c r="L13" s="52">
        <v>242.9</v>
      </c>
      <c r="M13" s="52">
        <v>244.2</v>
      </c>
      <c r="N13" s="52">
        <v>243.8</v>
      </c>
      <c r="O13" s="77">
        <v>243.5</v>
      </c>
      <c r="P13" s="77">
        <v>242.3</v>
      </c>
      <c r="Q13" s="77">
        <v>246.2</v>
      </c>
      <c r="R13" s="77">
        <v>247.2</v>
      </c>
      <c r="S13" s="77">
        <v>249.7</v>
      </c>
      <c r="T13" s="77">
        <v>246.2</v>
      </c>
      <c r="U13" s="77">
        <v>263.2</v>
      </c>
      <c r="V13" s="77">
        <v>258.3</v>
      </c>
      <c r="W13" s="77">
        <v>260.6</v>
      </c>
      <c r="X13" s="77">
        <v>255.3</v>
      </c>
      <c r="Y13" s="77">
        <v>256.2</v>
      </c>
      <c r="Z13" s="77">
        <v>252.9</v>
      </c>
      <c r="AA13" s="16">
        <v>0.0665896547854854</v>
      </c>
      <c r="AB13" s="49">
        <f t="shared" si="3"/>
        <v>665896.547854854</v>
      </c>
      <c r="AC13" s="50">
        <f t="shared" si="1"/>
        <v>2640</v>
      </c>
      <c r="AD13" s="77">
        <v>249.3</v>
      </c>
      <c r="AE13" s="77">
        <v>252.2</v>
      </c>
      <c r="AF13" s="77">
        <v>252.9</v>
      </c>
      <c r="AG13" s="77">
        <v>251.7</v>
      </c>
      <c r="AH13" s="77">
        <v>253.8</v>
      </c>
      <c r="AI13" s="77">
        <v>261.9</v>
      </c>
      <c r="AJ13" s="77">
        <v>263.1</v>
      </c>
      <c r="AK13" s="77">
        <v>267.5</v>
      </c>
      <c r="AL13" s="77">
        <v>267.8</v>
      </c>
      <c r="AM13" s="77">
        <v>271.8</v>
      </c>
      <c r="AN13" s="77">
        <v>275.5</v>
      </c>
      <c r="AO13" s="77">
        <v>272</v>
      </c>
      <c r="AP13" s="77">
        <v>272</v>
      </c>
      <c r="AQ13" s="77">
        <v>269.2</v>
      </c>
      <c r="AR13" s="77">
        <v>265.9</v>
      </c>
      <c r="AS13" s="77">
        <v>266.5</v>
      </c>
      <c r="AT13" s="77">
        <v>263.4</v>
      </c>
      <c r="AU13" s="77">
        <v>260.2</v>
      </c>
      <c r="AV13" s="77">
        <v>258.7</v>
      </c>
      <c r="AW13" s="77">
        <v>257.1</v>
      </c>
      <c r="AX13" s="77">
        <v>258</v>
      </c>
      <c r="AY13" s="77">
        <v>260.2</v>
      </c>
      <c r="AZ13" s="77">
        <v>259.6</v>
      </c>
      <c r="BA13" s="77">
        <v>262</v>
      </c>
      <c r="BB13" s="77">
        <v>260</v>
      </c>
      <c r="BC13" s="77">
        <v>265.1</v>
      </c>
      <c r="BD13" s="77">
        <v>266.6</v>
      </c>
      <c r="BE13" s="77">
        <v>264.7</v>
      </c>
      <c r="BF13" s="77">
        <v>266.5</v>
      </c>
      <c r="BG13" s="77">
        <v>270.6</v>
      </c>
      <c r="BH13" s="77">
        <v>270.2</v>
      </c>
      <c r="BI13" s="77">
        <v>274.5</v>
      </c>
      <c r="BJ13" s="77">
        <v>273.7</v>
      </c>
      <c r="BK13" s="77">
        <v>274.9</v>
      </c>
      <c r="BL13" s="77">
        <v>274.4</v>
      </c>
      <c r="BM13" s="77">
        <v>269.5</v>
      </c>
      <c r="BN13" s="77">
        <v>266</v>
      </c>
      <c r="BO13" s="77">
        <v>271.7</v>
      </c>
      <c r="BP13" s="77">
        <v>274.9</v>
      </c>
      <c r="BQ13" s="77">
        <v>276</v>
      </c>
      <c r="BR13" s="77">
        <v>276.9</v>
      </c>
      <c r="BS13" s="77">
        <v>280.2</v>
      </c>
      <c r="BT13" s="77">
        <v>282.8</v>
      </c>
      <c r="BU13" s="77">
        <v>276.1</v>
      </c>
      <c r="BV13" s="77">
        <v>276.4</v>
      </c>
      <c r="BW13" s="77">
        <v>278.7</v>
      </c>
      <c r="BX13" s="77">
        <v>278</v>
      </c>
      <c r="BY13" s="77">
        <v>273.4</v>
      </c>
      <c r="BZ13" s="77">
        <v>274.6</v>
      </c>
      <c r="CA13" s="77">
        <v>272.2</v>
      </c>
      <c r="CB13" s="77">
        <v>270.2</v>
      </c>
      <c r="CC13" s="77">
        <v>276.6</v>
      </c>
      <c r="CD13" s="77">
        <v>312.5</v>
      </c>
      <c r="CE13" s="77">
        <v>313.9</v>
      </c>
      <c r="CF13" s="77">
        <v>316.6</v>
      </c>
      <c r="CG13" s="77">
        <v>311.4</v>
      </c>
      <c r="CH13" s="77">
        <v>312.1</v>
      </c>
      <c r="CI13" s="77">
        <v>313.4</v>
      </c>
      <c r="CJ13" s="77">
        <v>316.5</v>
      </c>
      <c r="CK13" s="77">
        <v>317.5</v>
      </c>
    </row>
    <row r="14" spans="1:89">
      <c r="A14" s="14" t="s">
        <v>36</v>
      </c>
      <c r="B14" s="15" t="s">
        <v>37</v>
      </c>
      <c r="C14" s="16">
        <v>0.0441</v>
      </c>
      <c r="D14" s="16">
        <v>0.07</v>
      </c>
      <c r="E14" s="49">
        <f t="shared" si="2"/>
        <v>700000</v>
      </c>
      <c r="F14" s="50">
        <f t="shared" si="0"/>
        <v>287</v>
      </c>
      <c r="G14" s="51">
        <v>2434</v>
      </c>
      <c r="H14" s="52">
        <v>2474</v>
      </c>
      <c r="I14" s="52">
        <v>2436</v>
      </c>
      <c r="J14" s="52">
        <v>2409</v>
      </c>
      <c r="K14" s="52">
        <v>2397</v>
      </c>
      <c r="L14" s="52">
        <v>2420</v>
      </c>
      <c r="M14" s="52">
        <v>2394</v>
      </c>
      <c r="N14" s="52">
        <v>2367</v>
      </c>
      <c r="O14" s="77">
        <v>2329</v>
      </c>
      <c r="P14" s="77">
        <v>2301</v>
      </c>
      <c r="Q14" s="77">
        <v>2354</v>
      </c>
      <c r="R14" s="77">
        <v>2347</v>
      </c>
      <c r="S14" s="77">
        <v>2385</v>
      </c>
      <c r="T14" s="77">
        <v>2388</v>
      </c>
      <c r="U14" s="77">
        <v>2378</v>
      </c>
      <c r="V14" s="77">
        <v>2270</v>
      </c>
      <c r="W14" s="77">
        <v>2151</v>
      </c>
      <c r="X14" s="77">
        <v>2078</v>
      </c>
      <c r="Y14" s="77">
        <v>2097</v>
      </c>
      <c r="Z14" s="77">
        <v>2095</v>
      </c>
      <c r="AA14" s="16">
        <v>0.012385984265456</v>
      </c>
      <c r="AB14" s="49">
        <f t="shared" si="3"/>
        <v>123859.84265456</v>
      </c>
      <c r="AC14" s="50">
        <f t="shared" si="1"/>
        <v>58</v>
      </c>
      <c r="AD14" s="77">
        <v>2113</v>
      </c>
      <c r="AE14" s="77">
        <v>2122</v>
      </c>
      <c r="AF14" s="77">
        <v>2114</v>
      </c>
      <c r="AG14" s="77">
        <v>2037</v>
      </c>
      <c r="AH14" s="77">
        <v>2046</v>
      </c>
      <c r="AI14" s="77">
        <v>2075</v>
      </c>
      <c r="AJ14" s="77">
        <v>2079</v>
      </c>
      <c r="AK14" s="77">
        <v>2065</v>
      </c>
      <c r="AL14" s="77">
        <v>2073</v>
      </c>
      <c r="AM14" s="77">
        <v>2106</v>
      </c>
      <c r="AN14" s="77">
        <v>2103</v>
      </c>
      <c r="AO14" s="77">
        <v>2070</v>
      </c>
      <c r="AP14" s="77">
        <v>2095</v>
      </c>
      <c r="AQ14" s="77">
        <v>2081</v>
      </c>
      <c r="AR14" s="77">
        <v>2072</v>
      </c>
      <c r="AS14" s="77">
        <v>2119</v>
      </c>
      <c r="AT14" s="77">
        <v>2125</v>
      </c>
      <c r="AU14" s="77">
        <v>2091</v>
      </c>
      <c r="AV14" s="77">
        <v>2063</v>
      </c>
      <c r="AW14" s="77">
        <v>2040</v>
      </c>
      <c r="AX14" s="77">
        <v>2047</v>
      </c>
      <c r="AY14" s="77">
        <v>2019</v>
      </c>
      <c r="AZ14" s="77">
        <v>2039</v>
      </c>
      <c r="BA14" s="77">
        <v>2044</v>
      </c>
      <c r="BB14" s="77">
        <v>2095</v>
      </c>
      <c r="BC14" s="77">
        <v>2093</v>
      </c>
      <c r="BD14" s="77">
        <v>2110</v>
      </c>
      <c r="BE14" s="77">
        <v>2090</v>
      </c>
      <c r="BF14" s="77">
        <v>2121</v>
      </c>
      <c r="BG14" s="77">
        <v>2119</v>
      </c>
      <c r="BH14" s="77">
        <v>2121</v>
      </c>
      <c r="BI14" s="77">
        <v>2145</v>
      </c>
      <c r="BJ14" s="77">
        <v>2129</v>
      </c>
      <c r="BK14" s="77">
        <v>2114</v>
      </c>
      <c r="BL14" s="77">
        <v>2133</v>
      </c>
      <c r="BM14" s="77">
        <v>2066</v>
      </c>
      <c r="BN14" s="77">
        <v>2062</v>
      </c>
      <c r="BO14" s="77">
        <v>2069</v>
      </c>
      <c r="BP14" s="77">
        <v>2119</v>
      </c>
      <c r="BQ14" s="77">
        <v>2083</v>
      </c>
      <c r="BR14" s="77">
        <v>2088</v>
      </c>
      <c r="BS14" s="77">
        <v>2145</v>
      </c>
      <c r="BT14" s="77">
        <v>2161</v>
      </c>
      <c r="BU14" s="77">
        <v>2108</v>
      </c>
      <c r="BV14" s="77">
        <v>2115</v>
      </c>
      <c r="BW14" s="77">
        <v>2155</v>
      </c>
      <c r="BX14" s="77">
        <v>2097</v>
      </c>
      <c r="BY14" s="77">
        <v>2035</v>
      </c>
      <c r="BZ14" s="77">
        <v>2042</v>
      </c>
      <c r="CA14" s="77">
        <v>2026</v>
      </c>
      <c r="CB14" s="77">
        <v>2175</v>
      </c>
      <c r="CC14" s="77">
        <v>2162</v>
      </c>
      <c r="CD14" s="77">
        <v>2191</v>
      </c>
      <c r="CE14" s="77">
        <v>2218</v>
      </c>
      <c r="CF14" s="77">
        <v>2250</v>
      </c>
      <c r="CG14" s="77">
        <v>2199</v>
      </c>
      <c r="CH14" s="77">
        <v>2194</v>
      </c>
      <c r="CI14" s="77">
        <v>2194</v>
      </c>
      <c r="CJ14" s="77">
        <v>2207</v>
      </c>
      <c r="CK14" s="77">
        <v>2201</v>
      </c>
    </row>
    <row r="15" spans="1:89">
      <c r="A15" s="14" t="s">
        <v>38</v>
      </c>
      <c r="B15" s="15" t="s">
        <v>39</v>
      </c>
      <c r="C15" s="16">
        <v>0.0385</v>
      </c>
      <c r="D15" s="16">
        <v>0.0223</v>
      </c>
      <c r="E15" s="49">
        <f t="shared" si="2"/>
        <v>223000</v>
      </c>
      <c r="F15" s="50">
        <f t="shared" si="0"/>
        <v>5303</v>
      </c>
      <c r="G15" s="51">
        <v>42.05</v>
      </c>
      <c r="H15" s="52">
        <v>41.64</v>
      </c>
      <c r="I15" s="52">
        <v>41.69</v>
      </c>
      <c r="J15" s="52">
        <v>41.77</v>
      </c>
      <c r="K15" s="52">
        <v>41.42</v>
      </c>
      <c r="L15" s="52">
        <v>41.34</v>
      </c>
      <c r="M15" s="52">
        <v>41.59</v>
      </c>
      <c r="N15" s="52">
        <v>41.89</v>
      </c>
      <c r="O15" s="77">
        <v>42</v>
      </c>
      <c r="P15" s="77">
        <v>41.51</v>
      </c>
      <c r="Q15" s="77">
        <v>41.99</v>
      </c>
      <c r="R15" s="77">
        <v>42.2</v>
      </c>
      <c r="S15" s="77">
        <v>42.27</v>
      </c>
      <c r="T15" s="77">
        <v>42.15</v>
      </c>
      <c r="U15" s="77">
        <v>42.46</v>
      </c>
      <c r="V15" s="77">
        <v>42.61</v>
      </c>
      <c r="W15" s="77">
        <v>42.68</v>
      </c>
      <c r="X15" s="77">
        <v>39.33</v>
      </c>
      <c r="Y15" s="77">
        <v>39.98</v>
      </c>
      <c r="Z15" s="77">
        <v>40.6</v>
      </c>
      <c r="AA15" s="16">
        <v>0.00984158454520541</v>
      </c>
      <c r="AB15" s="49">
        <f t="shared" si="3"/>
        <v>98415.8454520541</v>
      </c>
      <c r="AC15" s="50">
        <f t="shared" si="1"/>
        <v>2367</v>
      </c>
      <c r="AD15" s="77">
        <v>40.76</v>
      </c>
      <c r="AE15" s="77">
        <v>41.57</v>
      </c>
      <c r="AF15" s="77">
        <v>41.39</v>
      </c>
      <c r="AG15" s="77">
        <v>41.62</v>
      </c>
      <c r="AH15" s="77">
        <v>42.12</v>
      </c>
      <c r="AI15" s="77">
        <v>42.67</v>
      </c>
      <c r="AJ15" s="77">
        <v>42.89</v>
      </c>
      <c r="AK15" s="77">
        <v>43.4</v>
      </c>
      <c r="AL15" s="77">
        <v>42.78</v>
      </c>
      <c r="AM15" s="77">
        <v>42.93</v>
      </c>
      <c r="AN15" s="77">
        <v>43.31</v>
      </c>
      <c r="AO15" s="77">
        <v>43.05</v>
      </c>
      <c r="AP15" s="77">
        <v>42.59</v>
      </c>
      <c r="AQ15" s="77">
        <v>40.96</v>
      </c>
      <c r="AR15" s="77">
        <v>39.31</v>
      </c>
      <c r="AS15" s="77">
        <v>39.92</v>
      </c>
      <c r="AT15" s="77">
        <v>39.9</v>
      </c>
      <c r="AU15" s="77">
        <v>39.79</v>
      </c>
      <c r="AV15" s="77">
        <v>39.78</v>
      </c>
      <c r="AW15" s="77">
        <v>39.2</v>
      </c>
      <c r="AX15" s="77">
        <v>39.33</v>
      </c>
      <c r="AY15" s="77">
        <v>39.81</v>
      </c>
      <c r="AZ15" s="77">
        <v>39.51</v>
      </c>
      <c r="BA15" s="77">
        <v>39.76</v>
      </c>
      <c r="BB15" s="77">
        <v>39.85</v>
      </c>
      <c r="BC15" s="77">
        <v>39.97</v>
      </c>
      <c r="BD15" s="77">
        <v>40.25</v>
      </c>
      <c r="BE15" s="77">
        <v>40.21</v>
      </c>
      <c r="BF15" s="77">
        <v>40.4</v>
      </c>
      <c r="BG15" s="77">
        <v>39.7</v>
      </c>
      <c r="BH15" s="77">
        <v>39.57</v>
      </c>
      <c r="BI15" s="77">
        <v>39.58</v>
      </c>
      <c r="BJ15" s="77">
        <v>39.89</v>
      </c>
      <c r="BK15" s="77">
        <v>40.05</v>
      </c>
      <c r="BL15" s="77">
        <v>40.02</v>
      </c>
      <c r="BM15" s="77">
        <v>39.8</v>
      </c>
      <c r="BN15" s="77">
        <v>39.93</v>
      </c>
      <c r="BO15" s="77">
        <v>40.66</v>
      </c>
      <c r="BP15" s="77">
        <v>40.56</v>
      </c>
      <c r="BQ15" s="77">
        <v>40.64</v>
      </c>
      <c r="BR15" s="77">
        <v>40.64</v>
      </c>
      <c r="BS15" s="77">
        <v>40.56</v>
      </c>
      <c r="BT15" s="77">
        <v>40.38</v>
      </c>
      <c r="BU15" s="77">
        <v>39.44</v>
      </c>
      <c r="BV15" s="77">
        <v>39.14</v>
      </c>
      <c r="BW15" s="77">
        <v>39.83</v>
      </c>
      <c r="BX15" s="77">
        <v>39.8</v>
      </c>
      <c r="BY15" s="77">
        <v>39.56</v>
      </c>
      <c r="BZ15" s="77">
        <v>39.51</v>
      </c>
      <c r="CA15" s="77">
        <v>40.18</v>
      </c>
      <c r="CB15" s="77">
        <v>40.17</v>
      </c>
      <c r="CC15" s="77">
        <v>40.2</v>
      </c>
      <c r="CD15" s="77">
        <v>39.41</v>
      </c>
      <c r="CE15" s="77">
        <v>39.12</v>
      </c>
      <c r="CF15" s="77">
        <v>39.33</v>
      </c>
      <c r="CG15" s="77">
        <v>39.34</v>
      </c>
      <c r="CH15" s="77">
        <v>39.39</v>
      </c>
      <c r="CI15" s="77">
        <v>39.4</v>
      </c>
      <c r="CJ15" s="77">
        <v>39.61</v>
      </c>
      <c r="CK15" s="77">
        <v>39.7</v>
      </c>
    </row>
    <row r="16" spans="1:89">
      <c r="A16" s="14" t="s">
        <v>40</v>
      </c>
      <c r="B16" s="15" t="s">
        <v>41</v>
      </c>
      <c r="C16" s="16">
        <v>0.0381</v>
      </c>
      <c r="D16" s="16">
        <v>0.0062</v>
      </c>
      <c r="E16" s="49">
        <f t="shared" si="2"/>
        <v>62000</v>
      </c>
      <c r="F16" s="50">
        <f t="shared" si="0"/>
        <v>786</v>
      </c>
      <c r="G16" s="51">
        <v>78.87</v>
      </c>
      <c r="H16" s="52">
        <v>77.91</v>
      </c>
      <c r="I16" s="52">
        <v>76.6</v>
      </c>
      <c r="J16" s="52">
        <v>76.68</v>
      </c>
      <c r="K16" s="52">
        <v>76.23</v>
      </c>
      <c r="L16" s="52">
        <v>76.08</v>
      </c>
      <c r="M16" s="52">
        <v>77.15</v>
      </c>
      <c r="N16" s="52">
        <v>77.84</v>
      </c>
      <c r="O16" s="77">
        <v>77.74</v>
      </c>
      <c r="P16" s="77">
        <v>77.08</v>
      </c>
      <c r="Q16" s="77">
        <v>78.48</v>
      </c>
      <c r="R16" s="77">
        <v>78.79</v>
      </c>
      <c r="S16" s="77">
        <v>78.87</v>
      </c>
      <c r="T16" s="77">
        <v>77.38</v>
      </c>
      <c r="U16" s="77">
        <v>78.48</v>
      </c>
      <c r="V16" s="77">
        <v>79.07</v>
      </c>
      <c r="W16" s="77">
        <v>80.06</v>
      </c>
      <c r="X16" s="77">
        <v>76.53</v>
      </c>
      <c r="Y16" s="77">
        <v>78.5</v>
      </c>
      <c r="Z16" s="77">
        <v>78.38</v>
      </c>
      <c r="AA16" s="16">
        <v>0.00987412316520584</v>
      </c>
      <c r="AB16" s="49">
        <f t="shared" si="3"/>
        <v>98741.2316520584</v>
      </c>
      <c r="AC16" s="50">
        <f t="shared" si="1"/>
        <v>1242</v>
      </c>
      <c r="AD16" s="77">
        <v>79.3</v>
      </c>
      <c r="AE16" s="77">
        <v>79.5</v>
      </c>
      <c r="AF16" s="77">
        <v>81.5</v>
      </c>
      <c r="AG16" s="77">
        <v>81.55</v>
      </c>
      <c r="AH16" s="77">
        <v>81.75</v>
      </c>
      <c r="AI16" s="77">
        <v>82.94</v>
      </c>
      <c r="AJ16" s="77">
        <v>83.94</v>
      </c>
      <c r="AK16" s="77">
        <v>83.7</v>
      </c>
      <c r="AL16" s="77">
        <v>82.29</v>
      </c>
      <c r="AM16" s="77">
        <v>82.86</v>
      </c>
      <c r="AN16" s="77">
        <v>83.31</v>
      </c>
      <c r="AO16" s="77">
        <v>82.72</v>
      </c>
      <c r="AP16" s="77">
        <v>83.38</v>
      </c>
      <c r="AQ16" s="77">
        <v>80.43</v>
      </c>
      <c r="AR16" s="77">
        <v>77.03</v>
      </c>
      <c r="AS16" s="77">
        <v>76.53</v>
      </c>
      <c r="AT16" s="77">
        <v>76.9</v>
      </c>
      <c r="AU16" s="77">
        <v>76.83</v>
      </c>
      <c r="AV16" s="77">
        <v>77.05</v>
      </c>
      <c r="AW16" s="77">
        <v>75.94</v>
      </c>
      <c r="AX16" s="77">
        <v>76.19</v>
      </c>
      <c r="AY16" s="77">
        <v>77.56</v>
      </c>
      <c r="AZ16" s="77">
        <v>76.52</v>
      </c>
      <c r="BA16" s="77">
        <v>76.7</v>
      </c>
      <c r="BB16" s="77">
        <v>77.87</v>
      </c>
      <c r="BC16" s="77">
        <v>78.16</v>
      </c>
      <c r="BD16" s="77">
        <v>79.41</v>
      </c>
      <c r="BE16" s="77">
        <v>79.3</v>
      </c>
      <c r="BF16" s="77">
        <v>80.33</v>
      </c>
      <c r="BG16" s="77">
        <v>79.17</v>
      </c>
      <c r="BH16" s="77">
        <v>77.67</v>
      </c>
      <c r="BI16" s="77">
        <v>78.39</v>
      </c>
      <c r="BJ16" s="77">
        <v>79.6</v>
      </c>
      <c r="BK16" s="77">
        <v>78.68</v>
      </c>
      <c r="BL16" s="77">
        <v>78.93</v>
      </c>
      <c r="BM16" s="77">
        <v>78.22</v>
      </c>
      <c r="BN16" s="77">
        <v>78.43</v>
      </c>
      <c r="BO16" s="77">
        <v>77.54</v>
      </c>
      <c r="BP16" s="77">
        <v>77.45</v>
      </c>
      <c r="BQ16" s="77">
        <v>77.33</v>
      </c>
      <c r="BR16" s="77">
        <v>78.34</v>
      </c>
      <c r="BS16" s="77">
        <v>77.53</v>
      </c>
      <c r="BT16" s="77">
        <v>78</v>
      </c>
      <c r="BU16" s="77">
        <v>75.5</v>
      </c>
      <c r="BV16" s="77">
        <v>74.63</v>
      </c>
      <c r="BW16" s="77">
        <v>75.2</v>
      </c>
      <c r="BX16" s="77">
        <v>75.54</v>
      </c>
      <c r="BY16" s="77">
        <v>75.5</v>
      </c>
      <c r="BZ16" s="77">
        <v>75.44</v>
      </c>
      <c r="CA16" s="77">
        <v>75.75</v>
      </c>
      <c r="CB16" s="77">
        <v>76.83</v>
      </c>
      <c r="CC16" s="77">
        <v>77.98</v>
      </c>
      <c r="CD16" s="77">
        <v>74.89</v>
      </c>
      <c r="CE16" s="77">
        <v>69.1</v>
      </c>
      <c r="CF16" s="77">
        <v>67.93</v>
      </c>
      <c r="CG16" s="77">
        <v>68.37</v>
      </c>
      <c r="CH16" s="77">
        <v>68.72</v>
      </c>
      <c r="CI16" s="77">
        <v>68.48</v>
      </c>
      <c r="CJ16" s="77">
        <v>69.19</v>
      </c>
      <c r="CK16" s="77">
        <v>66.74</v>
      </c>
    </row>
    <row r="17" spans="1:89">
      <c r="A17" s="14" t="s">
        <v>42</v>
      </c>
      <c r="B17" s="15" t="s">
        <v>43</v>
      </c>
      <c r="C17" s="16">
        <v>0.0317</v>
      </c>
      <c r="D17" s="16">
        <v>0.0224</v>
      </c>
      <c r="E17" s="49">
        <f t="shared" si="2"/>
        <v>224000</v>
      </c>
      <c r="F17" s="50">
        <f t="shared" si="0"/>
        <v>1763</v>
      </c>
      <c r="G17" s="51">
        <v>127.05</v>
      </c>
      <c r="H17" s="52">
        <v>126.15</v>
      </c>
      <c r="I17" s="52">
        <v>125.8</v>
      </c>
      <c r="J17" s="52">
        <v>125.25</v>
      </c>
      <c r="K17" s="52">
        <v>123.8</v>
      </c>
      <c r="L17" s="52">
        <v>122.7</v>
      </c>
      <c r="M17" s="52">
        <v>124.4</v>
      </c>
      <c r="N17" s="52">
        <v>124.8</v>
      </c>
      <c r="O17" s="77">
        <v>124.6</v>
      </c>
      <c r="P17" s="77">
        <v>122.75</v>
      </c>
      <c r="Q17" s="77">
        <v>125.05</v>
      </c>
      <c r="R17" s="77">
        <v>123.7</v>
      </c>
      <c r="S17" s="77">
        <v>124.2</v>
      </c>
      <c r="T17" s="77">
        <v>123.35</v>
      </c>
      <c r="U17" s="77">
        <v>125.15</v>
      </c>
      <c r="V17" s="77">
        <v>124.9</v>
      </c>
      <c r="W17" s="77">
        <v>121.6</v>
      </c>
      <c r="X17" s="77">
        <v>118.75</v>
      </c>
      <c r="Y17" s="77">
        <v>119.95</v>
      </c>
      <c r="Z17" s="77">
        <v>120.6</v>
      </c>
      <c r="AA17" s="16">
        <v>0.0019852052041</v>
      </c>
      <c r="AB17" s="49">
        <f t="shared" si="3"/>
        <v>19852.052041</v>
      </c>
      <c r="AC17" s="50">
        <f t="shared" si="1"/>
        <v>161</v>
      </c>
      <c r="AD17" s="77">
        <v>121.4</v>
      </c>
      <c r="AE17" s="77">
        <v>122.8</v>
      </c>
      <c r="AF17" s="77">
        <v>123.65</v>
      </c>
      <c r="AG17" s="77">
        <v>124.9</v>
      </c>
      <c r="AH17" s="77">
        <v>125</v>
      </c>
      <c r="AI17" s="77">
        <v>126.6</v>
      </c>
      <c r="AJ17" s="77">
        <v>127.9</v>
      </c>
      <c r="AK17" s="77">
        <v>129.6</v>
      </c>
      <c r="AL17" s="77">
        <v>128</v>
      </c>
      <c r="AM17" s="77">
        <v>129</v>
      </c>
      <c r="AN17" s="77">
        <v>128.6</v>
      </c>
      <c r="AO17" s="77">
        <v>128.65</v>
      </c>
      <c r="AP17" s="77">
        <v>129</v>
      </c>
      <c r="AQ17" s="77">
        <v>121.5</v>
      </c>
      <c r="AR17" s="77">
        <v>114.45</v>
      </c>
      <c r="AS17" s="77">
        <v>115.7</v>
      </c>
      <c r="AT17" s="77">
        <v>117.1</v>
      </c>
      <c r="AU17" s="77">
        <v>115.9</v>
      </c>
      <c r="AV17" s="77">
        <v>115.45</v>
      </c>
      <c r="AW17" s="77">
        <v>113.05</v>
      </c>
      <c r="AX17" s="77">
        <v>114.3</v>
      </c>
      <c r="AY17" s="77">
        <v>115.9</v>
      </c>
      <c r="AZ17" s="77">
        <v>115.55</v>
      </c>
      <c r="BA17" s="77">
        <v>117.3</v>
      </c>
      <c r="BB17" s="77">
        <v>117.65</v>
      </c>
      <c r="BC17" s="77">
        <v>118.35</v>
      </c>
      <c r="BD17" s="77">
        <v>118.6</v>
      </c>
      <c r="BE17" s="77">
        <v>118.5</v>
      </c>
      <c r="BF17" s="77">
        <v>119.55</v>
      </c>
      <c r="BG17" s="77">
        <v>117.85</v>
      </c>
      <c r="BH17" s="77">
        <v>116.4</v>
      </c>
      <c r="BI17" s="77">
        <v>117.25</v>
      </c>
      <c r="BJ17" s="77">
        <v>117.6</v>
      </c>
      <c r="BK17" s="77">
        <v>116.95</v>
      </c>
      <c r="BL17" s="77">
        <v>117.15</v>
      </c>
      <c r="BM17" s="77">
        <v>115.55</v>
      </c>
      <c r="BN17" s="77">
        <v>115.25</v>
      </c>
      <c r="BO17" s="77">
        <v>116.75</v>
      </c>
      <c r="BP17" s="77">
        <v>116.3</v>
      </c>
      <c r="BQ17" s="77">
        <v>117.95</v>
      </c>
      <c r="BR17" s="77">
        <v>118.4</v>
      </c>
      <c r="BS17" s="77">
        <v>118.45</v>
      </c>
      <c r="BT17" s="77">
        <v>117.95</v>
      </c>
      <c r="BU17" s="77">
        <v>115.6</v>
      </c>
      <c r="BV17" s="77">
        <v>115.6</v>
      </c>
      <c r="BW17" s="77">
        <v>116.95</v>
      </c>
      <c r="BX17" s="77">
        <v>118.45</v>
      </c>
      <c r="BY17" s="77">
        <v>117.45</v>
      </c>
      <c r="BZ17" s="77">
        <v>118.35</v>
      </c>
      <c r="CA17" s="77">
        <v>119.45</v>
      </c>
      <c r="CB17" s="77">
        <v>120.4</v>
      </c>
      <c r="CC17" s="77">
        <v>121.8</v>
      </c>
      <c r="CD17" s="77">
        <v>121.4</v>
      </c>
      <c r="CE17" s="77">
        <v>121.45</v>
      </c>
      <c r="CF17" s="77">
        <v>120.85</v>
      </c>
      <c r="CG17" s="77">
        <v>122.2</v>
      </c>
      <c r="CH17" s="77">
        <v>122.85</v>
      </c>
      <c r="CI17" s="77">
        <v>120.4</v>
      </c>
      <c r="CJ17" s="77">
        <v>120</v>
      </c>
      <c r="CK17" s="77">
        <v>117.4</v>
      </c>
    </row>
    <row r="18" spans="1:89">
      <c r="A18" s="14" t="s">
        <v>44</v>
      </c>
      <c r="B18" s="15" t="s">
        <v>45</v>
      </c>
      <c r="C18" s="16">
        <v>0.0252</v>
      </c>
      <c r="D18" s="16">
        <v>0.0227</v>
      </c>
      <c r="E18" s="49">
        <f t="shared" si="2"/>
        <v>227000</v>
      </c>
      <c r="F18" s="50">
        <f t="shared" si="0"/>
        <v>3341</v>
      </c>
      <c r="G18" s="51">
        <v>67.94</v>
      </c>
      <c r="H18" s="52">
        <v>68.2</v>
      </c>
      <c r="I18" s="52">
        <v>67.84</v>
      </c>
      <c r="J18" s="52">
        <v>68.22</v>
      </c>
      <c r="K18" s="52">
        <v>67.88</v>
      </c>
      <c r="L18" s="52">
        <v>67.52</v>
      </c>
      <c r="M18" s="52">
        <v>67.68</v>
      </c>
      <c r="N18" s="52">
        <v>68.06</v>
      </c>
      <c r="O18" s="77">
        <v>67.18</v>
      </c>
      <c r="P18" s="77">
        <v>67.16</v>
      </c>
      <c r="Q18" s="77">
        <v>67.18</v>
      </c>
      <c r="R18" s="77">
        <v>67.3</v>
      </c>
      <c r="S18" s="77">
        <v>66.78</v>
      </c>
      <c r="T18" s="77">
        <v>65.78</v>
      </c>
      <c r="U18" s="77">
        <v>66.36</v>
      </c>
      <c r="V18" s="77">
        <v>71.24</v>
      </c>
      <c r="W18" s="77">
        <v>71.88</v>
      </c>
      <c r="X18" s="77">
        <v>72.5</v>
      </c>
      <c r="Y18" s="77">
        <v>73.04</v>
      </c>
      <c r="Z18" s="77">
        <v>72.32</v>
      </c>
      <c r="AA18" s="16">
        <v>0.0394578948641</v>
      </c>
      <c r="AB18" s="49">
        <f t="shared" si="3"/>
        <v>394578.948641</v>
      </c>
      <c r="AC18" s="50">
        <f t="shared" si="1"/>
        <v>5529</v>
      </c>
      <c r="AD18" s="77">
        <v>71.78</v>
      </c>
      <c r="AE18" s="77">
        <v>71.36</v>
      </c>
      <c r="AF18" s="77">
        <v>71.9</v>
      </c>
      <c r="AG18" s="77">
        <v>70.86</v>
      </c>
      <c r="AH18" s="77">
        <v>70.78</v>
      </c>
      <c r="AI18" s="77">
        <v>71.52</v>
      </c>
      <c r="AJ18" s="77">
        <v>71.7</v>
      </c>
      <c r="AK18" s="77">
        <v>72.06</v>
      </c>
      <c r="AL18" s="77">
        <v>71.7</v>
      </c>
      <c r="AM18" s="77">
        <v>72.24</v>
      </c>
      <c r="AN18" s="77">
        <v>74.52</v>
      </c>
      <c r="AO18" s="77">
        <v>73.84</v>
      </c>
      <c r="AP18" s="77">
        <v>73.24</v>
      </c>
      <c r="AQ18" s="77">
        <v>72.7</v>
      </c>
      <c r="AR18" s="77">
        <v>72.04</v>
      </c>
      <c r="AS18" s="77">
        <v>71.72</v>
      </c>
      <c r="AT18" s="77">
        <v>71.04</v>
      </c>
      <c r="AU18" s="77">
        <v>71.18</v>
      </c>
      <c r="AV18" s="77">
        <v>71.5</v>
      </c>
      <c r="AW18" s="77">
        <v>73.32</v>
      </c>
      <c r="AX18" s="77">
        <v>74.32</v>
      </c>
      <c r="AY18" s="77">
        <v>74.98</v>
      </c>
      <c r="AZ18" s="77">
        <v>75.08</v>
      </c>
      <c r="BA18" s="77">
        <v>74.72</v>
      </c>
      <c r="BB18" s="77">
        <v>74.72</v>
      </c>
      <c r="BC18" s="77">
        <v>74.3</v>
      </c>
      <c r="BD18" s="77">
        <v>74.8</v>
      </c>
      <c r="BE18" s="77">
        <v>74.64</v>
      </c>
      <c r="BF18" s="77">
        <v>74.22</v>
      </c>
      <c r="BG18" s="77">
        <v>74.28</v>
      </c>
      <c r="BH18" s="77">
        <v>73.9</v>
      </c>
      <c r="BI18" s="77">
        <v>73.48</v>
      </c>
      <c r="BJ18" s="77">
        <v>73.76</v>
      </c>
      <c r="BK18" s="77">
        <v>72.6</v>
      </c>
      <c r="BL18" s="77">
        <v>72.5</v>
      </c>
      <c r="BM18" s="77">
        <v>72.5</v>
      </c>
      <c r="BN18" s="77">
        <v>72.62</v>
      </c>
      <c r="BO18" s="77">
        <v>73.02</v>
      </c>
      <c r="BP18" s="77">
        <v>73.32</v>
      </c>
      <c r="BQ18" s="77">
        <v>74.16</v>
      </c>
      <c r="BR18" s="77">
        <v>73.44</v>
      </c>
      <c r="BS18" s="77">
        <v>73.84</v>
      </c>
      <c r="BT18" s="77">
        <v>73.16</v>
      </c>
      <c r="BU18" s="77">
        <v>72.3</v>
      </c>
      <c r="BV18" s="77">
        <v>72.14</v>
      </c>
      <c r="BW18" s="77">
        <v>72.46</v>
      </c>
      <c r="BX18" s="77">
        <v>75.9</v>
      </c>
      <c r="BY18" s="77">
        <v>75.88</v>
      </c>
      <c r="BZ18" s="77">
        <v>74.72</v>
      </c>
      <c r="CA18" s="77">
        <v>75.28</v>
      </c>
      <c r="CB18" s="77">
        <v>75.18</v>
      </c>
      <c r="CC18" s="77">
        <v>76.3</v>
      </c>
      <c r="CD18" s="77">
        <v>77.52</v>
      </c>
      <c r="CE18" s="77">
        <v>77.7</v>
      </c>
      <c r="CF18" s="77">
        <v>78.02</v>
      </c>
      <c r="CG18" s="77">
        <v>78.66</v>
      </c>
      <c r="CH18" s="77">
        <v>78.24</v>
      </c>
      <c r="CI18" s="77">
        <v>77.78</v>
      </c>
      <c r="CJ18" s="77">
        <v>78.04</v>
      </c>
      <c r="CK18" s="77">
        <v>78.06</v>
      </c>
    </row>
    <row r="19" spans="1:89">
      <c r="A19" s="14" t="s">
        <v>46</v>
      </c>
      <c r="B19" s="15" t="s">
        <v>47</v>
      </c>
      <c r="C19" s="16">
        <v>0.0233</v>
      </c>
      <c r="D19" s="16">
        <v>0.0185</v>
      </c>
      <c r="E19" s="49">
        <f t="shared" si="2"/>
        <v>185000</v>
      </c>
      <c r="F19" s="50">
        <f t="shared" si="0"/>
        <v>1821</v>
      </c>
      <c r="G19" s="51">
        <v>101.55</v>
      </c>
      <c r="H19" s="52">
        <v>101.3</v>
      </c>
      <c r="I19" s="52">
        <v>100.4</v>
      </c>
      <c r="J19" s="52">
        <v>99.74</v>
      </c>
      <c r="K19" s="52">
        <v>99.36</v>
      </c>
      <c r="L19" s="52">
        <v>96.94</v>
      </c>
      <c r="M19" s="52">
        <v>100.35</v>
      </c>
      <c r="N19" s="52">
        <v>100.55</v>
      </c>
      <c r="O19" s="77">
        <v>100.85</v>
      </c>
      <c r="P19" s="77">
        <v>98.72</v>
      </c>
      <c r="Q19" s="77">
        <v>102</v>
      </c>
      <c r="R19" s="77">
        <v>102.7</v>
      </c>
      <c r="S19" s="77">
        <v>102.15</v>
      </c>
      <c r="T19" s="77">
        <v>100.6</v>
      </c>
      <c r="U19" s="77">
        <v>101.2</v>
      </c>
      <c r="V19" s="77">
        <v>101.2</v>
      </c>
      <c r="W19" s="77">
        <v>100.3</v>
      </c>
      <c r="X19" s="77">
        <v>90.98</v>
      </c>
      <c r="Y19" s="77">
        <v>92</v>
      </c>
      <c r="Z19" s="77">
        <v>92.8</v>
      </c>
      <c r="AA19" s="16">
        <v>0.0098547357</v>
      </c>
      <c r="AB19" s="49">
        <f t="shared" si="3"/>
        <v>98547.357</v>
      </c>
      <c r="AC19" s="50">
        <f t="shared" si="1"/>
        <v>1020</v>
      </c>
      <c r="AD19" s="77">
        <v>93.5</v>
      </c>
      <c r="AE19" s="77">
        <v>96.56</v>
      </c>
      <c r="AF19" s="77">
        <v>97.92</v>
      </c>
      <c r="AG19" s="77">
        <v>96.8</v>
      </c>
      <c r="AH19" s="77">
        <v>98.4</v>
      </c>
      <c r="AI19" s="77">
        <v>98.2</v>
      </c>
      <c r="AJ19" s="77">
        <v>99.12</v>
      </c>
      <c r="AK19" s="77">
        <v>99</v>
      </c>
      <c r="AL19" s="77">
        <v>97.7</v>
      </c>
      <c r="AM19" s="77">
        <v>100.65</v>
      </c>
      <c r="AN19" s="77">
        <v>97.5</v>
      </c>
      <c r="AO19" s="77">
        <v>96.4</v>
      </c>
      <c r="AP19" s="77">
        <v>98.16</v>
      </c>
      <c r="AQ19" s="77">
        <v>94.88</v>
      </c>
      <c r="AR19" s="77">
        <v>93.64</v>
      </c>
      <c r="AS19" s="77">
        <v>93.44</v>
      </c>
      <c r="AT19" s="77">
        <v>93.6</v>
      </c>
      <c r="AU19" s="77">
        <v>92.2</v>
      </c>
      <c r="AV19" s="77">
        <v>92.94</v>
      </c>
      <c r="AW19" s="77">
        <v>90.5</v>
      </c>
      <c r="AX19" s="77">
        <v>90.36</v>
      </c>
      <c r="AY19" s="77">
        <v>91.24</v>
      </c>
      <c r="AZ19" s="77">
        <v>91.46</v>
      </c>
      <c r="BA19" s="77">
        <v>93.02</v>
      </c>
      <c r="BB19" s="77">
        <v>92.44</v>
      </c>
      <c r="BC19" s="77">
        <v>92.02</v>
      </c>
      <c r="BD19" s="77">
        <v>93.7</v>
      </c>
      <c r="BE19" s="77">
        <v>93.9</v>
      </c>
      <c r="BF19" s="77">
        <v>94.7</v>
      </c>
      <c r="BG19" s="77">
        <v>93.24</v>
      </c>
      <c r="BH19" s="77">
        <v>93.12</v>
      </c>
      <c r="BI19" s="77">
        <v>93.44</v>
      </c>
      <c r="BJ19" s="77">
        <v>93.78</v>
      </c>
      <c r="BK19" s="77">
        <v>92.56</v>
      </c>
      <c r="BL19" s="77">
        <v>93.8</v>
      </c>
      <c r="BM19" s="77">
        <v>92.26</v>
      </c>
      <c r="BN19" s="77">
        <v>90.04</v>
      </c>
      <c r="BO19" s="77">
        <v>91.3</v>
      </c>
      <c r="BP19" s="77">
        <v>90.94</v>
      </c>
      <c r="BQ19" s="77">
        <v>91.66</v>
      </c>
      <c r="BR19" s="77">
        <v>92.86</v>
      </c>
      <c r="BS19" s="77">
        <v>93.6</v>
      </c>
      <c r="BT19" s="77">
        <v>94.32</v>
      </c>
      <c r="BU19" s="77">
        <v>91.08</v>
      </c>
      <c r="BV19" s="77">
        <v>90.96</v>
      </c>
      <c r="BW19" s="77">
        <v>89.78</v>
      </c>
      <c r="BX19" s="77">
        <v>90.14</v>
      </c>
      <c r="BY19" s="77">
        <v>87.54</v>
      </c>
      <c r="BZ19" s="77">
        <v>89.3</v>
      </c>
      <c r="CA19" s="77">
        <v>88.56</v>
      </c>
      <c r="CB19" s="77">
        <v>90.3</v>
      </c>
      <c r="CC19" s="77">
        <v>90.64</v>
      </c>
      <c r="CD19" s="77">
        <v>89.5</v>
      </c>
      <c r="CE19" s="77">
        <v>90.44</v>
      </c>
      <c r="CF19" s="77">
        <v>90.6</v>
      </c>
      <c r="CG19" s="77">
        <v>89.66</v>
      </c>
      <c r="CH19" s="77">
        <v>89.34</v>
      </c>
      <c r="CI19" s="77">
        <v>90.38</v>
      </c>
      <c r="CJ19" s="77">
        <v>90.16</v>
      </c>
      <c r="CK19" s="77">
        <v>88.96</v>
      </c>
    </row>
    <row r="20" spans="1:89">
      <c r="A20" s="14" t="s">
        <v>48</v>
      </c>
      <c r="B20" s="15" t="s">
        <v>49</v>
      </c>
      <c r="C20" s="16">
        <v>0.0168</v>
      </c>
      <c r="D20" s="16">
        <v>0.0146</v>
      </c>
      <c r="E20" s="49">
        <f t="shared" si="2"/>
        <v>146000</v>
      </c>
      <c r="F20" s="50">
        <f t="shared" si="0"/>
        <v>7381</v>
      </c>
      <c r="G20" s="51">
        <v>19.78</v>
      </c>
      <c r="H20" s="52">
        <v>19.475</v>
      </c>
      <c r="I20" s="52">
        <v>19.67</v>
      </c>
      <c r="J20" s="52">
        <v>19.725</v>
      </c>
      <c r="K20" s="52">
        <v>19.49</v>
      </c>
      <c r="L20" s="52">
        <v>19.39</v>
      </c>
      <c r="M20" s="52">
        <v>19.375</v>
      </c>
      <c r="N20" s="52">
        <v>19.475</v>
      </c>
      <c r="O20" s="77">
        <v>19.64</v>
      </c>
      <c r="P20" s="77">
        <v>20.02</v>
      </c>
      <c r="Q20" s="77">
        <v>19.59</v>
      </c>
      <c r="R20" s="77">
        <v>19.645</v>
      </c>
      <c r="S20" s="77">
        <v>19.665</v>
      </c>
      <c r="T20" s="77">
        <v>19.6</v>
      </c>
      <c r="U20" s="77">
        <v>19.57</v>
      </c>
      <c r="V20" s="77">
        <v>19.655</v>
      </c>
      <c r="W20" s="77">
        <v>19.62</v>
      </c>
      <c r="X20" s="77">
        <v>19.14</v>
      </c>
      <c r="Y20" s="77">
        <v>19.055</v>
      </c>
      <c r="Z20" s="77">
        <v>19.045</v>
      </c>
      <c r="AA20" s="16">
        <v>0.00240545357544</v>
      </c>
      <c r="AB20" s="49">
        <f t="shared" si="3"/>
        <v>24054.5357544</v>
      </c>
      <c r="AC20" s="50">
        <f t="shared" si="1"/>
        <v>1277</v>
      </c>
      <c r="AD20" s="77">
        <v>19.175</v>
      </c>
      <c r="AE20" s="77">
        <v>18.835</v>
      </c>
      <c r="AF20" s="77">
        <v>18.65</v>
      </c>
      <c r="AG20" s="77">
        <v>18.795</v>
      </c>
      <c r="AH20" s="77">
        <v>18.665</v>
      </c>
      <c r="AI20" s="77">
        <v>18.7</v>
      </c>
      <c r="AJ20" s="77">
        <v>18.645</v>
      </c>
      <c r="AK20" s="77">
        <v>18.91</v>
      </c>
      <c r="AL20" s="77">
        <v>18.62</v>
      </c>
      <c r="AM20" s="77">
        <v>18.62</v>
      </c>
      <c r="AN20" s="77">
        <v>18.905</v>
      </c>
      <c r="AO20" s="77">
        <v>18.895</v>
      </c>
      <c r="AP20" s="77">
        <v>18.77</v>
      </c>
      <c r="AQ20" s="77">
        <v>18.325</v>
      </c>
      <c r="AR20" s="77">
        <v>17.98</v>
      </c>
      <c r="AS20" s="77">
        <v>17.86</v>
      </c>
      <c r="AT20" s="77">
        <v>17.8</v>
      </c>
      <c r="AU20" s="77">
        <v>17.69</v>
      </c>
      <c r="AV20" s="77">
        <v>17.615</v>
      </c>
      <c r="AW20" s="77">
        <v>17.355</v>
      </c>
      <c r="AX20" s="77">
        <v>17.57</v>
      </c>
      <c r="AY20" s="77">
        <v>17.64</v>
      </c>
      <c r="AZ20" s="77">
        <v>17.64</v>
      </c>
      <c r="BA20" s="77">
        <v>17.775</v>
      </c>
      <c r="BB20" s="77">
        <v>17.78</v>
      </c>
      <c r="BC20" s="77">
        <v>17.93</v>
      </c>
      <c r="BD20" s="77">
        <v>18.09</v>
      </c>
      <c r="BE20" s="77">
        <v>18.2</v>
      </c>
      <c r="BF20" s="77">
        <v>18.405</v>
      </c>
      <c r="BG20" s="77">
        <v>18.04</v>
      </c>
      <c r="BH20" s="77">
        <v>17.875</v>
      </c>
      <c r="BI20" s="77">
        <v>17.84</v>
      </c>
      <c r="BJ20" s="77">
        <v>17.88</v>
      </c>
      <c r="BK20" s="77">
        <v>18.155</v>
      </c>
      <c r="BL20" s="77">
        <v>18.055</v>
      </c>
      <c r="BM20" s="77">
        <v>18.095</v>
      </c>
      <c r="BN20" s="77">
        <v>18.16</v>
      </c>
      <c r="BO20" s="77">
        <v>18.29</v>
      </c>
      <c r="BP20" s="77">
        <v>18.225</v>
      </c>
      <c r="BQ20" s="77">
        <v>18.255</v>
      </c>
      <c r="BR20" s="77">
        <v>18.655</v>
      </c>
      <c r="BS20" s="77">
        <v>18.595</v>
      </c>
      <c r="BT20" s="77">
        <v>18.715</v>
      </c>
      <c r="BU20" s="77">
        <v>18.335</v>
      </c>
      <c r="BV20" s="77">
        <v>18.465</v>
      </c>
      <c r="BW20" s="77">
        <v>18.53</v>
      </c>
      <c r="BX20" s="77">
        <v>18.88</v>
      </c>
      <c r="BY20" s="77">
        <v>18.92</v>
      </c>
      <c r="BZ20" s="77">
        <v>19.005</v>
      </c>
      <c r="CA20" s="77">
        <v>19.105</v>
      </c>
      <c r="CB20" s="77">
        <v>19.315</v>
      </c>
      <c r="CC20" s="77">
        <v>19.725</v>
      </c>
      <c r="CD20" s="77">
        <v>19.655</v>
      </c>
      <c r="CE20" s="77">
        <v>19.575</v>
      </c>
      <c r="CF20" s="77">
        <v>19.53</v>
      </c>
      <c r="CG20" s="77">
        <v>19.56</v>
      </c>
      <c r="CH20" s="77">
        <v>19.8</v>
      </c>
      <c r="CI20" s="77">
        <v>19.695</v>
      </c>
      <c r="CJ20" s="77">
        <v>19.64</v>
      </c>
      <c r="CK20" s="77">
        <v>19.805</v>
      </c>
    </row>
    <row r="21" spans="1:89">
      <c r="A21" s="14" t="s">
        <v>50</v>
      </c>
      <c r="B21" s="15" t="s">
        <v>51</v>
      </c>
      <c r="C21" s="16">
        <v>0.016</v>
      </c>
      <c r="D21" s="16">
        <v>0.0275</v>
      </c>
      <c r="E21" s="49">
        <f t="shared" si="2"/>
        <v>275000</v>
      </c>
      <c r="F21" s="50">
        <f t="shared" si="0"/>
        <v>31587</v>
      </c>
      <c r="G21" s="51">
        <v>8.706</v>
      </c>
      <c r="H21" s="52">
        <v>9.005</v>
      </c>
      <c r="I21" s="52">
        <v>8.586</v>
      </c>
      <c r="J21" s="52">
        <v>8.434</v>
      </c>
      <c r="K21" s="52">
        <v>8.53</v>
      </c>
      <c r="L21" s="52">
        <v>8</v>
      </c>
      <c r="M21" s="52">
        <v>8.173</v>
      </c>
      <c r="N21" s="52">
        <v>7.913</v>
      </c>
      <c r="O21" s="77">
        <v>8.035</v>
      </c>
      <c r="P21" s="77">
        <v>7.881</v>
      </c>
      <c r="Q21" s="77">
        <v>8.601</v>
      </c>
      <c r="R21" s="77">
        <v>8.246</v>
      </c>
      <c r="S21" s="77">
        <v>8.505</v>
      </c>
      <c r="T21" s="77">
        <v>8.273</v>
      </c>
      <c r="U21" s="77">
        <v>8.286</v>
      </c>
      <c r="V21" s="77">
        <v>7.912</v>
      </c>
      <c r="W21" s="77">
        <v>7.763</v>
      </c>
      <c r="X21" s="77">
        <v>7.589</v>
      </c>
      <c r="Y21" s="77">
        <v>7.567</v>
      </c>
      <c r="Z21" s="77">
        <v>7.584</v>
      </c>
      <c r="AA21" s="16">
        <v>0.00384587452057078</v>
      </c>
      <c r="AB21" s="49">
        <f t="shared" si="3"/>
        <v>38458.7452057078</v>
      </c>
      <c r="AC21" s="50">
        <f t="shared" si="1"/>
        <v>4870</v>
      </c>
      <c r="AD21" s="77">
        <v>7.633</v>
      </c>
      <c r="AE21" s="77">
        <v>7.896</v>
      </c>
      <c r="AF21" s="77">
        <v>8.086</v>
      </c>
      <c r="AG21" s="77">
        <v>8.02</v>
      </c>
      <c r="AH21" s="77">
        <v>8.274</v>
      </c>
      <c r="AI21" s="77">
        <v>8.276</v>
      </c>
      <c r="AJ21" s="77">
        <v>8.324</v>
      </c>
      <c r="AK21" s="77">
        <v>8.324</v>
      </c>
      <c r="AL21" s="77">
        <v>8.316</v>
      </c>
      <c r="AM21" s="77">
        <v>8.584</v>
      </c>
      <c r="AN21" s="77">
        <v>8.428</v>
      </c>
      <c r="AO21" s="77">
        <v>8.295</v>
      </c>
      <c r="AP21" s="77">
        <v>8.646</v>
      </c>
      <c r="AQ21" s="77">
        <v>8.572</v>
      </c>
      <c r="AR21" s="77">
        <v>8.412</v>
      </c>
      <c r="AS21" s="77">
        <v>8.173</v>
      </c>
      <c r="AT21" s="77">
        <v>8.215</v>
      </c>
      <c r="AU21" s="77">
        <v>8.184</v>
      </c>
      <c r="AV21" s="77">
        <v>8.23</v>
      </c>
      <c r="AW21" s="77">
        <v>8.01</v>
      </c>
      <c r="AX21" s="77">
        <v>7.792</v>
      </c>
      <c r="AY21" s="77">
        <v>7.713</v>
      </c>
      <c r="AZ21" s="77">
        <v>7.75</v>
      </c>
      <c r="BA21" s="77">
        <v>7.622</v>
      </c>
      <c r="BB21" s="77">
        <v>7.62</v>
      </c>
      <c r="BC21" s="77">
        <v>7.46</v>
      </c>
      <c r="BD21" s="77">
        <v>8.145</v>
      </c>
      <c r="BE21" s="77">
        <v>7.995</v>
      </c>
      <c r="BF21" s="77">
        <v>8.15</v>
      </c>
      <c r="BG21" s="77">
        <v>8.14</v>
      </c>
      <c r="BH21" s="77">
        <v>8.238</v>
      </c>
      <c r="BI21" s="77">
        <v>8.4</v>
      </c>
      <c r="BJ21" s="77">
        <v>8.447</v>
      </c>
      <c r="BK21" s="77">
        <v>8.226</v>
      </c>
      <c r="BL21" s="77">
        <v>8.485</v>
      </c>
      <c r="BM21" s="77">
        <v>8.189</v>
      </c>
      <c r="BN21" s="77">
        <v>7.99</v>
      </c>
      <c r="BO21" s="77">
        <v>7.905</v>
      </c>
      <c r="BP21" s="77">
        <v>7.989</v>
      </c>
      <c r="BQ21" s="77">
        <v>7.864</v>
      </c>
      <c r="BR21" s="77">
        <v>8.14</v>
      </c>
      <c r="BS21" s="77">
        <v>8.816</v>
      </c>
      <c r="BT21" s="77">
        <v>9.02</v>
      </c>
      <c r="BU21" s="77">
        <v>9.325</v>
      </c>
      <c r="BV21" s="77">
        <v>9.433</v>
      </c>
      <c r="BW21" s="77">
        <v>9.317</v>
      </c>
      <c r="BX21" s="77">
        <v>9.231</v>
      </c>
      <c r="BY21" s="77">
        <v>8.56</v>
      </c>
      <c r="BZ21" s="77">
        <v>8.793</v>
      </c>
      <c r="CA21" s="77">
        <v>8.373</v>
      </c>
      <c r="CB21" s="77">
        <v>8.642</v>
      </c>
      <c r="CC21" s="77">
        <v>8.838</v>
      </c>
      <c r="CD21" s="77">
        <v>8.915</v>
      </c>
      <c r="CE21" s="77">
        <v>9.117</v>
      </c>
      <c r="CF21" s="77">
        <v>9.55</v>
      </c>
      <c r="CG21" s="77">
        <v>9.352</v>
      </c>
      <c r="CH21" s="77">
        <v>9.229</v>
      </c>
      <c r="CI21" s="77">
        <v>9.445</v>
      </c>
      <c r="CJ21" s="77">
        <v>9.443</v>
      </c>
      <c r="CK21" s="77">
        <v>9.597</v>
      </c>
    </row>
    <row r="22" spans="1:89">
      <c r="A22" s="14" t="s">
        <v>52</v>
      </c>
      <c r="B22" s="15" t="s">
        <v>53</v>
      </c>
      <c r="C22" s="16">
        <v>0.0148</v>
      </c>
      <c r="D22" s="16">
        <v>0.0342</v>
      </c>
      <c r="E22" s="49">
        <f t="shared" si="2"/>
        <v>342000</v>
      </c>
      <c r="F22" s="50">
        <f t="shared" si="0"/>
        <v>3006</v>
      </c>
      <c r="G22" s="51">
        <v>113.75</v>
      </c>
      <c r="H22" s="52">
        <v>113.4</v>
      </c>
      <c r="I22" s="52">
        <v>113.65</v>
      </c>
      <c r="J22" s="52">
        <v>112.35</v>
      </c>
      <c r="K22" s="52">
        <v>113.6</v>
      </c>
      <c r="L22" s="52">
        <v>111.55</v>
      </c>
      <c r="M22" s="52">
        <v>121.55</v>
      </c>
      <c r="N22" s="52">
        <v>124.75</v>
      </c>
      <c r="O22" s="77">
        <v>124.4</v>
      </c>
      <c r="P22" s="77">
        <v>122.75</v>
      </c>
      <c r="Q22" s="77">
        <v>123.6</v>
      </c>
      <c r="R22" s="77">
        <v>125.15</v>
      </c>
      <c r="S22" s="77">
        <v>124.65</v>
      </c>
      <c r="T22" s="77">
        <v>126.5</v>
      </c>
      <c r="U22" s="77">
        <v>126.8</v>
      </c>
      <c r="V22" s="77">
        <v>127.65</v>
      </c>
      <c r="W22" s="77">
        <v>129.95</v>
      </c>
      <c r="X22" s="77">
        <v>128.7</v>
      </c>
      <c r="Y22" s="77">
        <v>130.15</v>
      </c>
      <c r="Z22" s="77">
        <v>128.8</v>
      </c>
      <c r="AA22" s="16">
        <v>0.007952652658</v>
      </c>
      <c r="AB22" s="49">
        <f t="shared" si="3"/>
        <v>79526.52658</v>
      </c>
      <c r="AC22" s="50">
        <f t="shared" si="1"/>
        <v>611</v>
      </c>
      <c r="AD22" s="77">
        <v>129</v>
      </c>
      <c r="AE22" s="77">
        <v>130.15</v>
      </c>
      <c r="AF22" s="77">
        <v>129.75</v>
      </c>
      <c r="AG22" s="77">
        <v>129.35</v>
      </c>
      <c r="AH22" s="77">
        <v>131.4</v>
      </c>
      <c r="AI22" s="77">
        <v>130.5</v>
      </c>
      <c r="AJ22" s="77">
        <v>132</v>
      </c>
      <c r="AK22" s="77">
        <v>132.9</v>
      </c>
      <c r="AL22" s="77">
        <v>133.5</v>
      </c>
      <c r="AM22" s="77">
        <v>133.5</v>
      </c>
      <c r="AN22" s="77">
        <v>130.4</v>
      </c>
      <c r="AO22" s="77">
        <v>130.65</v>
      </c>
      <c r="AP22" s="77">
        <v>132.1</v>
      </c>
      <c r="AQ22" s="77">
        <v>130.45</v>
      </c>
      <c r="AR22" s="77">
        <v>130.2</v>
      </c>
      <c r="AS22" s="77">
        <v>129.75</v>
      </c>
      <c r="AT22" s="77">
        <v>130.8</v>
      </c>
      <c r="AU22" s="77">
        <v>130.1</v>
      </c>
      <c r="AV22" s="77">
        <v>130.2</v>
      </c>
      <c r="AW22" s="77">
        <v>127.4</v>
      </c>
      <c r="AX22" s="77">
        <v>128.35</v>
      </c>
      <c r="AY22" s="77">
        <v>130.25</v>
      </c>
      <c r="AZ22" s="77">
        <v>131.05</v>
      </c>
      <c r="BA22" s="77">
        <v>134.25</v>
      </c>
      <c r="BB22" s="77">
        <v>133.9</v>
      </c>
      <c r="BC22" s="77">
        <v>137.5</v>
      </c>
      <c r="BD22" s="77">
        <v>138.45</v>
      </c>
      <c r="BE22" s="77">
        <v>139.1</v>
      </c>
      <c r="BF22" s="77">
        <v>139.8</v>
      </c>
      <c r="BG22" s="77">
        <v>137.65</v>
      </c>
      <c r="BH22" s="77">
        <v>136.55</v>
      </c>
      <c r="BI22" s="77">
        <v>140.05</v>
      </c>
      <c r="BJ22" s="77">
        <v>140.1</v>
      </c>
      <c r="BK22" s="77">
        <v>141.6</v>
      </c>
      <c r="BL22" s="77">
        <v>141.8</v>
      </c>
      <c r="BM22" s="77">
        <v>142.9</v>
      </c>
      <c r="BN22" s="77">
        <v>142.05</v>
      </c>
      <c r="BO22" s="77">
        <v>143.1</v>
      </c>
      <c r="BP22" s="77">
        <v>142.45</v>
      </c>
      <c r="BQ22" s="77">
        <v>140.6</v>
      </c>
      <c r="BR22" s="77">
        <v>139.6</v>
      </c>
      <c r="BS22" s="77">
        <v>142.1</v>
      </c>
      <c r="BT22" s="77">
        <v>142.85</v>
      </c>
      <c r="BU22" s="77">
        <v>143.65</v>
      </c>
      <c r="BV22" s="77">
        <v>141.9</v>
      </c>
      <c r="BW22" s="77">
        <v>146.95</v>
      </c>
      <c r="BX22" s="77">
        <v>145.25</v>
      </c>
      <c r="BY22" s="77">
        <v>142.55</v>
      </c>
      <c r="BZ22" s="77">
        <v>144.1</v>
      </c>
      <c r="CA22" s="77">
        <v>143.9</v>
      </c>
      <c r="CB22" s="77">
        <v>144.6</v>
      </c>
      <c r="CC22" s="77">
        <v>148.7</v>
      </c>
      <c r="CD22" s="77">
        <v>144.45</v>
      </c>
      <c r="CE22" s="77">
        <v>146.1</v>
      </c>
      <c r="CF22" s="77">
        <v>147</v>
      </c>
      <c r="CG22" s="77">
        <v>145.15</v>
      </c>
      <c r="CH22" s="77">
        <v>146.2</v>
      </c>
      <c r="CI22" s="77">
        <v>148.35</v>
      </c>
      <c r="CJ22" s="77">
        <v>149.1</v>
      </c>
      <c r="CK22" s="77">
        <v>149</v>
      </c>
    </row>
    <row r="23" spans="1:89">
      <c r="A23" s="14" t="s">
        <v>54</v>
      </c>
      <c r="B23" s="15" t="s">
        <v>55</v>
      </c>
      <c r="C23" s="16">
        <v>0.0147</v>
      </c>
      <c r="D23" s="16">
        <v>0.0322</v>
      </c>
      <c r="E23" s="49">
        <f t="shared" si="2"/>
        <v>322000</v>
      </c>
      <c r="F23" s="50">
        <f t="shared" si="0"/>
        <v>2216</v>
      </c>
      <c r="G23" s="51">
        <v>145.25</v>
      </c>
      <c r="H23" s="52">
        <v>145.4</v>
      </c>
      <c r="I23" s="52">
        <v>140.4</v>
      </c>
      <c r="J23" s="52">
        <v>137.1</v>
      </c>
      <c r="K23" s="52">
        <v>136.9</v>
      </c>
      <c r="L23" s="52">
        <v>136.65</v>
      </c>
      <c r="M23" s="52">
        <v>137.75</v>
      </c>
      <c r="N23" s="52">
        <v>137.95</v>
      </c>
      <c r="O23" s="77">
        <v>136.5</v>
      </c>
      <c r="P23" s="77">
        <v>135.1</v>
      </c>
      <c r="Q23" s="77">
        <v>136.2</v>
      </c>
      <c r="R23" s="77">
        <v>135.35</v>
      </c>
      <c r="S23" s="77">
        <v>134.05</v>
      </c>
      <c r="T23" s="77">
        <v>135</v>
      </c>
      <c r="U23" s="77">
        <v>134</v>
      </c>
      <c r="V23" s="77">
        <v>132.5</v>
      </c>
      <c r="W23" s="77">
        <v>130.9</v>
      </c>
      <c r="X23" s="77">
        <v>124.45</v>
      </c>
      <c r="Y23" s="77">
        <v>123.9</v>
      </c>
      <c r="Z23" s="77">
        <v>124.3</v>
      </c>
      <c r="AA23" s="16">
        <v>0.015751474582</v>
      </c>
      <c r="AB23" s="49">
        <f t="shared" si="3"/>
        <v>157514.74582</v>
      </c>
      <c r="AC23" s="50">
        <f t="shared" si="1"/>
        <v>1272</v>
      </c>
      <c r="AD23" s="77">
        <v>121.5</v>
      </c>
      <c r="AE23" s="77">
        <v>123.8</v>
      </c>
      <c r="AF23" s="77">
        <v>125.6</v>
      </c>
      <c r="AG23" s="77">
        <v>123.35</v>
      </c>
      <c r="AH23" s="77">
        <v>121.3</v>
      </c>
      <c r="AI23" s="77">
        <v>123.45</v>
      </c>
      <c r="AJ23" s="77">
        <v>121.95</v>
      </c>
      <c r="AK23" s="77">
        <v>123.05</v>
      </c>
      <c r="AL23" s="77">
        <v>122.5</v>
      </c>
      <c r="AM23" s="77">
        <v>126.7</v>
      </c>
      <c r="AN23" s="77">
        <v>126.5</v>
      </c>
      <c r="AO23" s="77">
        <v>124.95</v>
      </c>
      <c r="AP23" s="77">
        <v>126.6</v>
      </c>
      <c r="AQ23" s="77">
        <v>123.9</v>
      </c>
      <c r="AR23" s="77">
        <v>122.4</v>
      </c>
      <c r="AS23" s="77">
        <v>124.05</v>
      </c>
      <c r="AT23" s="77">
        <v>124.05</v>
      </c>
      <c r="AU23" s="77">
        <v>121.45</v>
      </c>
      <c r="AV23" s="77">
        <v>120.4</v>
      </c>
      <c r="AW23" s="77">
        <v>118.1</v>
      </c>
      <c r="AX23" s="77">
        <v>121.7</v>
      </c>
      <c r="AY23" s="77">
        <v>122.15</v>
      </c>
      <c r="AZ23" s="77">
        <v>125</v>
      </c>
      <c r="BA23" s="77">
        <v>127.15</v>
      </c>
      <c r="BB23" s="77">
        <v>125.1</v>
      </c>
      <c r="BC23" s="77">
        <v>122.45</v>
      </c>
      <c r="BD23" s="77">
        <v>121.8</v>
      </c>
      <c r="BE23" s="77">
        <v>123.8</v>
      </c>
      <c r="BF23" s="77">
        <v>121.05</v>
      </c>
      <c r="BG23" s="77">
        <v>123.05</v>
      </c>
      <c r="BH23" s="77">
        <v>123.15</v>
      </c>
      <c r="BI23" s="77">
        <v>127.05</v>
      </c>
      <c r="BJ23" s="77">
        <v>124.25</v>
      </c>
      <c r="BK23" s="77">
        <v>121.95</v>
      </c>
      <c r="BL23" s="77">
        <v>123.6</v>
      </c>
      <c r="BM23" s="77">
        <v>122.25</v>
      </c>
      <c r="BN23" s="77">
        <v>121.9</v>
      </c>
      <c r="BO23" s="77">
        <v>119.15</v>
      </c>
      <c r="BP23" s="77">
        <v>121.3</v>
      </c>
      <c r="BQ23" s="77">
        <v>123.55</v>
      </c>
      <c r="BR23" s="77">
        <v>123.5</v>
      </c>
      <c r="BS23" s="77">
        <v>124.85</v>
      </c>
      <c r="BT23" s="77">
        <v>124.35</v>
      </c>
      <c r="BU23" s="77">
        <v>124.6</v>
      </c>
      <c r="BV23" s="77">
        <v>125</v>
      </c>
      <c r="BW23" s="77">
        <v>122.05</v>
      </c>
      <c r="BX23" s="77">
        <v>122.05</v>
      </c>
      <c r="BY23" s="77">
        <v>119.7</v>
      </c>
      <c r="BZ23" s="77">
        <v>120.3</v>
      </c>
      <c r="CA23" s="77">
        <v>118.9</v>
      </c>
      <c r="CB23" s="77">
        <v>122.35</v>
      </c>
      <c r="CC23" s="77">
        <v>122.55</v>
      </c>
      <c r="CD23" s="77">
        <v>121.7</v>
      </c>
      <c r="CE23" s="77">
        <v>123.4</v>
      </c>
      <c r="CF23" s="77">
        <v>130.05</v>
      </c>
      <c r="CG23" s="77">
        <v>128.95</v>
      </c>
      <c r="CH23" s="77">
        <v>126.5</v>
      </c>
      <c r="CI23" s="77">
        <v>127.1</v>
      </c>
      <c r="CJ23" s="77">
        <v>128.15</v>
      </c>
      <c r="CK23" s="77">
        <v>130.05</v>
      </c>
    </row>
    <row r="24" spans="1:89">
      <c r="A24" s="14" t="s">
        <v>56</v>
      </c>
      <c r="B24" s="15" t="s">
        <v>57</v>
      </c>
      <c r="C24" s="16">
        <v>0.0141</v>
      </c>
      <c r="D24" s="16">
        <v>0.0233</v>
      </c>
      <c r="E24" s="49">
        <f t="shared" si="2"/>
        <v>233000</v>
      </c>
      <c r="F24" s="50">
        <f t="shared" si="0"/>
        <v>2622</v>
      </c>
      <c r="G24" s="51">
        <v>88.84</v>
      </c>
      <c r="H24" s="52">
        <v>90.22</v>
      </c>
      <c r="I24" s="52">
        <v>89.06</v>
      </c>
      <c r="J24" s="52">
        <v>88.94</v>
      </c>
      <c r="K24" s="52">
        <v>89.32</v>
      </c>
      <c r="L24" s="52">
        <v>89.88</v>
      </c>
      <c r="M24" s="52">
        <v>83.9</v>
      </c>
      <c r="N24" s="52">
        <v>84.1</v>
      </c>
      <c r="O24" s="77">
        <v>82.44</v>
      </c>
      <c r="P24" s="77">
        <v>83.84</v>
      </c>
      <c r="Q24" s="77">
        <v>83.86</v>
      </c>
      <c r="R24" s="77">
        <v>85.08</v>
      </c>
      <c r="S24" s="77">
        <v>83.52</v>
      </c>
      <c r="T24" s="77">
        <v>81.92</v>
      </c>
      <c r="U24" s="77">
        <v>81.76</v>
      </c>
      <c r="V24" s="77">
        <v>80.2</v>
      </c>
      <c r="W24" s="77">
        <v>80.2</v>
      </c>
      <c r="X24" s="77">
        <v>79.66</v>
      </c>
      <c r="Y24" s="77">
        <v>78.82</v>
      </c>
      <c r="Z24" s="77">
        <v>78.78</v>
      </c>
      <c r="AA24" s="16">
        <v>0.01895235458745</v>
      </c>
      <c r="AB24" s="49">
        <f t="shared" si="3"/>
        <v>189523.5458745</v>
      </c>
      <c r="AC24" s="50">
        <f t="shared" si="1"/>
        <v>2410</v>
      </c>
      <c r="AD24" s="77">
        <v>78</v>
      </c>
      <c r="AE24" s="77">
        <v>78.64</v>
      </c>
      <c r="AF24" s="77">
        <v>78.1</v>
      </c>
      <c r="AG24" s="77">
        <v>77.6</v>
      </c>
      <c r="AH24" s="77">
        <v>75.14</v>
      </c>
      <c r="AI24" s="77">
        <v>77.08</v>
      </c>
      <c r="AJ24" s="77">
        <v>77.72</v>
      </c>
      <c r="AK24" s="77">
        <v>76.98</v>
      </c>
      <c r="AL24" s="77">
        <v>77.14</v>
      </c>
      <c r="AM24" s="77">
        <v>79.62</v>
      </c>
      <c r="AN24" s="77">
        <v>79.78</v>
      </c>
      <c r="AO24" s="77">
        <v>79.16</v>
      </c>
      <c r="AP24" s="77">
        <v>80.74</v>
      </c>
      <c r="AQ24" s="77">
        <v>79.46</v>
      </c>
      <c r="AR24" s="77">
        <v>78.48</v>
      </c>
      <c r="AS24" s="77">
        <v>79</v>
      </c>
      <c r="AT24" s="77">
        <v>79.18</v>
      </c>
      <c r="AU24" s="77">
        <v>78.84</v>
      </c>
      <c r="AV24" s="77">
        <v>78.98</v>
      </c>
      <c r="AW24" s="77">
        <v>79.06</v>
      </c>
      <c r="AX24" s="77">
        <v>81.2</v>
      </c>
      <c r="AY24" s="77">
        <v>82.5</v>
      </c>
      <c r="AZ24" s="77">
        <v>82.32</v>
      </c>
      <c r="BA24" s="77">
        <v>82.82</v>
      </c>
      <c r="BB24" s="77">
        <v>84.5</v>
      </c>
      <c r="BC24" s="77">
        <v>82.26</v>
      </c>
      <c r="BD24" s="77">
        <v>82.22</v>
      </c>
      <c r="BE24" s="77">
        <v>83.16</v>
      </c>
      <c r="BF24" s="77">
        <v>82.64</v>
      </c>
      <c r="BG24" s="77">
        <v>82.76</v>
      </c>
      <c r="BH24" s="77">
        <v>83.32</v>
      </c>
      <c r="BI24" s="77">
        <v>82.08</v>
      </c>
      <c r="BJ24" s="77">
        <v>79.4</v>
      </c>
      <c r="BK24" s="77">
        <v>79.74</v>
      </c>
      <c r="BL24" s="77">
        <v>80.52</v>
      </c>
      <c r="BM24" s="77">
        <v>79.64</v>
      </c>
      <c r="BN24" s="77">
        <v>79.2</v>
      </c>
      <c r="BO24" s="77">
        <v>79.72</v>
      </c>
      <c r="BP24" s="77">
        <v>79.92</v>
      </c>
      <c r="BQ24" s="77">
        <v>81.68</v>
      </c>
      <c r="BR24" s="77">
        <v>81.36</v>
      </c>
      <c r="BS24" s="77">
        <v>82.36</v>
      </c>
      <c r="BT24" s="77">
        <v>83</v>
      </c>
      <c r="BU24" s="77">
        <v>82.92</v>
      </c>
      <c r="BV24" s="77">
        <v>82.7</v>
      </c>
      <c r="BW24" s="77">
        <v>83.04</v>
      </c>
      <c r="BX24" s="77">
        <v>82.58</v>
      </c>
      <c r="BY24" s="77">
        <v>82.16</v>
      </c>
      <c r="BZ24" s="77">
        <v>83.5</v>
      </c>
      <c r="CA24" s="77">
        <v>82.04</v>
      </c>
      <c r="CB24" s="77">
        <v>86.1</v>
      </c>
      <c r="CC24" s="77">
        <v>86.16</v>
      </c>
      <c r="CD24" s="77">
        <v>86</v>
      </c>
      <c r="CE24" s="77">
        <v>86.1</v>
      </c>
      <c r="CF24" s="77">
        <v>87.48</v>
      </c>
      <c r="CG24" s="77">
        <v>87.24</v>
      </c>
      <c r="CH24" s="77">
        <v>87.7</v>
      </c>
      <c r="CI24" s="77">
        <v>86.38</v>
      </c>
      <c r="CJ24" s="77">
        <v>86.9</v>
      </c>
      <c r="CK24" s="77">
        <v>88.16</v>
      </c>
    </row>
    <row r="25" spans="1:89">
      <c r="A25" s="14" t="s">
        <v>58</v>
      </c>
      <c r="B25" s="15" t="s">
        <v>59</v>
      </c>
      <c r="C25" s="16">
        <v>0.0136</v>
      </c>
      <c r="D25" s="16">
        <v>0.0097</v>
      </c>
      <c r="E25" s="49">
        <f t="shared" si="2"/>
        <v>97000</v>
      </c>
      <c r="F25" s="50">
        <f t="shared" si="0"/>
        <v>3010</v>
      </c>
      <c r="G25" s="51">
        <v>32.22</v>
      </c>
      <c r="H25" s="52">
        <v>32.6</v>
      </c>
      <c r="I25" s="52">
        <v>32.19</v>
      </c>
      <c r="J25" s="52">
        <v>32.17</v>
      </c>
      <c r="K25" s="52">
        <v>32.05</v>
      </c>
      <c r="L25" s="52">
        <v>31.97</v>
      </c>
      <c r="M25" s="52">
        <v>32.21</v>
      </c>
      <c r="N25" s="52">
        <v>32.21</v>
      </c>
      <c r="O25" s="77">
        <v>32.39</v>
      </c>
      <c r="P25" s="77">
        <v>32.1</v>
      </c>
      <c r="Q25" s="77">
        <v>32.54</v>
      </c>
      <c r="R25" s="77">
        <v>32.15</v>
      </c>
      <c r="S25" s="77">
        <v>31.07</v>
      </c>
      <c r="T25" s="77">
        <v>31.38</v>
      </c>
      <c r="U25" s="77">
        <v>31.5</v>
      </c>
      <c r="V25" s="77">
        <v>31.2</v>
      </c>
      <c r="W25" s="77">
        <v>31.26</v>
      </c>
      <c r="X25" s="77">
        <v>30.97</v>
      </c>
      <c r="Y25" s="77">
        <v>30.86</v>
      </c>
      <c r="Z25" s="77">
        <v>30.9</v>
      </c>
      <c r="AA25" s="16">
        <v>0.008757287578778</v>
      </c>
      <c r="AB25" s="49">
        <f t="shared" si="3"/>
        <v>87572.87578778</v>
      </c>
      <c r="AC25" s="50">
        <f t="shared" si="1"/>
        <v>2798</v>
      </c>
      <c r="AD25" s="77">
        <v>30.71</v>
      </c>
      <c r="AE25" s="77">
        <v>31.29</v>
      </c>
      <c r="AF25" s="77">
        <v>31.43</v>
      </c>
      <c r="AG25" s="77">
        <v>31.34</v>
      </c>
      <c r="AH25" s="77">
        <v>31.66</v>
      </c>
      <c r="AI25" s="77">
        <v>31.91</v>
      </c>
      <c r="AJ25" s="77">
        <v>31.9</v>
      </c>
      <c r="AK25" s="77">
        <v>32.23</v>
      </c>
      <c r="AL25" s="77">
        <v>32.12</v>
      </c>
      <c r="AM25" s="77">
        <v>32.85</v>
      </c>
      <c r="AN25" s="77">
        <v>32.77</v>
      </c>
      <c r="AO25" s="77">
        <v>32.53</v>
      </c>
      <c r="AP25" s="77">
        <v>32.55</v>
      </c>
      <c r="AQ25" s="77">
        <v>31.93</v>
      </c>
      <c r="AR25" s="77">
        <v>31.5</v>
      </c>
      <c r="AS25" s="77">
        <v>31.15</v>
      </c>
      <c r="AT25" s="77">
        <v>31.19</v>
      </c>
      <c r="AU25" s="77">
        <v>30.93</v>
      </c>
      <c r="AV25" s="77">
        <v>30.79</v>
      </c>
      <c r="AW25" s="77">
        <v>30.9</v>
      </c>
      <c r="AX25" s="77">
        <v>30.65</v>
      </c>
      <c r="AY25" s="77">
        <v>30.74</v>
      </c>
      <c r="AZ25" s="77">
        <v>30.95</v>
      </c>
      <c r="BA25" s="77">
        <v>31.34</v>
      </c>
      <c r="BB25" s="77">
        <v>31.58</v>
      </c>
      <c r="BC25" s="77">
        <v>31.46</v>
      </c>
      <c r="BD25" s="77">
        <v>31.51</v>
      </c>
      <c r="BE25" s="77">
        <v>31.46</v>
      </c>
      <c r="BF25" s="77">
        <v>31.26</v>
      </c>
      <c r="BG25" s="77">
        <v>31.19</v>
      </c>
      <c r="BH25" s="77">
        <v>31.11</v>
      </c>
      <c r="BI25" s="77">
        <v>31.01</v>
      </c>
      <c r="BJ25" s="77">
        <v>31.13</v>
      </c>
      <c r="BK25" s="77">
        <v>30.69</v>
      </c>
      <c r="BL25" s="77">
        <v>30.87</v>
      </c>
      <c r="BM25" s="77">
        <v>30.55</v>
      </c>
      <c r="BN25" s="77">
        <v>30.6</v>
      </c>
      <c r="BO25" s="77">
        <v>30.89</v>
      </c>
      <c r="BP25" s="77">
        <v>30.64</v>
      </c>
      <c r="BQ25" s="77">
        <v>30.54</v>
      </c>
      <c r="BR25" s="77">
        <v>30.94</v>
      </c>
      <c r="BS25" s="77">
        <v>31.32</v>
      </c>
      <c r="BT25" s="77">
        <v>31.22</v>
      </c>
      <c r="BU25" s="77">
        <v>31.15</v>
      </c>
      <c r="BV25" s="77">
        <v>30.82</v>
      </c>
      <c r="BW25" s="77">
        <v>30.86</v>
      </c>
      <c r="BX25" s="77">
        <v>29.68</v>
      </c>
      <c r="BY25" s="77">
        <v>29.49</v>
      </c>
      <c r="BZ25" s="77">
        <v>28.67</v>
      </c>
      <c r="CA25" s="77">
        <v>26.11</v>
      </c>
      <c r="CB25" s="77">
        <v>26.2</v>
      </c>
      <c r="CC25" s="77">
        <v>27.09</v>
      </c>
      <c r="CD25" s="77">
        <v>27.08</v>
      </c>
      <c r="CE25" s="77">
        <v>27.32</v>
      </c>
      <c r="CF25" s="77">
        <v>27.89</v>
      </c>
      <c r="CG25" s="77">
        <v>27.43</v>
      </c>
      <c r="CH25" s="77">
        <v>27.66</v>
      </c>
      <c r="CI25" s="77">
        <v>27.91</v>
      </c>
      <c r="CJ25" s="77">
        <v>28.26</v>
      </c>
      <c r="CK25" s="77">
        <v>28.24</v>
      </c>
    </row>
    <row r="26" spans="1:89">
      <c r="A26" s="14" t="s">
        <v>60</v>
      </c>
      <c r="B26" s="15" t="s">
        <v>61</v>
      </c>
      <c r="C26" s="16">
        <v>0.0134</v>
      </c>
      <c r="D26" s="16">
        <v>0.0501</v>
      </c>
      <c r="E26" s="49">
        <f t="shared" si="2"/>
        <v>501000</v>
      </c>
      <c r="F26" s="50">
        <f t="shared" si="0"/>
        <v>15809</v>
      </c>
      <c r="G26" s="51">
        <v>31.69</v>
      </c>
      <c r="H26" s="52">
        <v>32.15</v>
      </c>
      <c r="I26" s="52">
        <v>31.68</v>
      </c>
      <c r="J26" s="52">
        <v>31.54</v>
      </c>
      <c r="K26" s="52">
        <v>31.82</v>
      </c>
      <c r="L26" s="52">
        <v>31.69</v>
      </c>
      <c r="M26" s="52">
        <v>32.3</v>
      </c>
      <c r="N26" s="52">
        <v>32.02</v>
      </c>
      <c r="O26" s="77">
        <v>32</v>
      </c>
      <c r="P26" s="77">
        <v>31.85</v>
      </c>
      <c r="Q26" s="77">
        <v>31.99</v>
      </c>
      <c r="R26" s="77">
        <v>29.31</v>
      </c>
      <c r="S26" s="77">
        <v>29.78</v>
      </c>
      <c r="T26" s="77">
        <v>29.68</v>
      </c>
      <c r="U26" s="77">
        <v>29.68</v>
      </c>
      <c r="V26" s="77">
        <v>29.17</v>
      </c>
      <c r="W26" s="77">
        <v>28.89</v>
      </c>
      <c r="X26" s="77">
        <v>27.94</v>
      </c>
      <c r="Y26" s="77">
        <v>27.94</v>
      </c>
      <c r="Z26" s="77">
        <v>27.75</v>
      </c>
      <c r="AA26" s="16">
        <v>0.0179854555452965</v>
      </c>
      <c r="AB26" s="49">
        <f t="shared" si="3"/>
        <v>179854.555452965</v>
      </c>
      <c r="AC26" s="50">
        <f t="shared" si="1"/>
        <v>6521</v>
      </c>
      <c r="AD26" s="77">
        <v>27.52</v>
      </c>
      <c r="AE26" s="77">
        <v>27.58</v>
      </c>
      <c r="AF26" s="77">
        <v>27.51</v>
      </c>
      <c r="AG26" s="77">
        <v>27.17</v>
      </c>
      <c r="AH26" s="77">
        <v>26.51</v>
      </c>
      <c r="AI26" s="77">
        <v>26.77</v>
      </c>
      <c r="AJ26" s="77">
        <v>26.64</v>
      </c>
      <c r="AK26" s="77">
        <v>26.89</v>
      </c>
      <c r="AL26" s="77">
        <v>26.72</v>
      </c>
      <c r="AM26" s="77">
        <v>27</v>
      </c>
      <c r="AN26" s="77">
        <v>27.29</v>
      </c>
      <c r="AO26" s="77">
        <v>26.96</v>
      </c>
      <c r="AP26" s="77">
        <v>27.13</v>
      </c>
      <c r="AQ26" s="77">
        <v>26.79</v>
      </c>
      <c r="AR26" s="77">
        <v>26.45</v>
      </c>
      <c r="AS26" s="77">
        <v>26.84</v>
      </c>
      <c r="AT26" s="77">
        <v>26.99</v>
      </c>
      <c r="AU26" s="77">
        <v>26.6</v>
      </c>
      <c r="AV26" s="77">
        <v>26.62</v>
      </c>
      <c r="AW26" s="77">
        <v>26.33</v>
      </c>
      <c r="AX26" s="77">
        <v>26.57</v>
      </c>
      <c r="AY26" s="77">
        <v>26.74</v>
      </c>
      <c r="AZ26" s="77">
        <v>26.8</v>
      </c>
      <c r="BA26" s="77">
        <v>27.38</v>
      </c>
      <c r="BB26" s="77">
        <v>27.83</v>
      </c>
      <c r="BC26" s="77">
        <v>27.36</v>
      </c>
      <c r="BD26" s="77">
        <v>27.29</v>
      </c>
      <c r="BE26" s="77">
        <v>27.56</v>
      </c>
      <c r="BF26" s="77">
        <v>27.1</v>
      </c>
      <c r="BG26" s="77">
        <v>27.39</v>
      </c>
      <c r="BH26" s="77">
        <v>27.52</v>
      </c>
      <c r="BI26" s="77">
        <v>28.33</v>
      </c>
      <c r="BJ26" s="77">
        <v>27.9</v>
      </c>
      <c r="BK26" s="77">
        <v>27.99</v>
      </c>
      <c r="BL26" s="77">
        <v>27.98</v>
      </c>
      <c r="BM26" s="77">
        <v>27.87</v>
      </c>
      <c r="BN26" s="77">
        <v>28.17</v>
      </c>
      <c r="BO26" s="77">
        <v>28.06</v>
      </c>
      <c r="BP26" s="77">
        <v>28.31</v>
      </c>
      <c r="BQ26" s="77">
        <v>28.51</v>
      </c>
      <c r="BR26" s="77">
        <v>28.46</v>
      </c>
      <c r="BS26" s="77">
        <v>29.37</v>
      </c>
      <c r="BT26" s="77">
        <v>29.19</v>
      </c>
      <c r="BU26" s="77">
        <v>29.22</v>
      </c>
      <c r="BV26" s="77">
        <v>29.05</v>
      </c>
      <c r="BW26" s="77">
        <v>28.77</v>
      </c>
      <c r="BX26" s="77">
        <v>28.93</v>
      </c>
      <c r="BY26" s="77">
        <v>28.5</v>
      </c>
      <c r="BZ26" s="77">
        <v>28.81</v>
      </c>
      <c r="CA26" s="77">
        <v>28.35</v>
      </c>
      <c r="CB26" s="77">
        <v>28.88</v>
      </c>
      <c r="CC26" s="77">
        <v>29.38</v>
      </c>
      <c r="CD26" s="77">
        <v>29.33</v>
      </c>
      <c r="CE26" s="77">
        <v>29.78</v>
      </c>
      <c r="CF26" s="77">
        <v>30.27</v>
      </c>
      <c r="CG26" s="77">
        <v>30.12</v>
      </c>
      <c r="CH26" s="77">
        <v>26.21</v>
      </c>
      <c r="CI26" s="77">
        <v>25.69</v>
      </c>
      <c r="CJ26" s="77">
        <v>25.41</v>
      </c>
      <c r="CK26" s="77">
        <v>24.97</v>
      </c>
    </row>
    <row r="27" spans="1:89">
      <c r="A27" s="14" t="s">
        <v>62</v>
      </c>
      <c r="B27" s="15" t="s">
        <v>63</v>
      </c>
      <c r="C27" s="16">
        <v>0.0132</v>
      </c>
      <c r="D27" s="16">
        <v>0.0143</v>
      </c>
      <c r="E27" s="49">
        <f t="shared" si="2"/>
        <v>143000</v>
      </c>
      <c r="F27" s="50">
        <f t="shared" si="0"/>
        <v>1542</v>
      </c>
      <c r="G27" s="51">
        <v>92.68</v>
      </c>
      <c r="H27" s="52">
        <v>96.08</v>
      </c>
      <c r="I27" s="52">
        <v>94.74</v>
      </c>
      <c r="J27" s="52">
        <v>93.62</v>
      </c>
      <c r="K27" s="52">
        <v>93.24</v>
      </c>
      <c r="L27" s="52">
        <v>92.36</v>
      </c>
      <c r="M27" s="52">
        <v>93</v>
      </c>
      <c r="N27" s="52">
        <v>94.22</v>
      </c>
      <c r="O27" s="77">
        <v>93.46</v>
      </c>
      <c r="P27" s="77">
        <v>95.76</v>
      </c>
      <c r="Q27" s="77">
        <v>95.42</v>
      </c>
      <c r="R27" s="77">
        <v>97.36</v>
      </c>
      <c r="S27" s="77">
        <v>100.05</v>
      </c>
      <c r="T27" s="77">
        <v>96.56</v>
      </c>
      <c r="U27" s="77">
        <v>94.48</v>
      </c>
      <c r="V27" s="77">
        <v>94.22</v>
      </c>
      <c r="W27" s="77">
        <v>90.36</v>
      </c>
      <c r="X27" s="77">
        <v>89.56</v>
      </c>
      <c r="Y27" s="77">
        <v>89.9</v>
      </c>
      <c r="Z27" s="77">
        <v>90.9</v>
      </c>
      <c r="AA27" s="16">
        <v>0.0108556548564582</v>
      </c>
      <c r="AB27" s="49">
        <f t="shared" si="3"/>
        <v>108556.548564582</v>
      </c>
      <c r="AC27" s="50">
        <f t="shared" si="1"/>
        <v>1139</v>
      </c>
      <c r="AD27" s="77">
        <v>93.1</v>
      </c>
      <c r="AE27" s="77">
        <v>95.28</v>
      </c>
      <c r="AF27" s="77">
        <v>95.76</v>
      </c>
      <c r="AG27" s="77">
        <v>96.16</v>
      </c>
      <c r="AH27" s="77">
        <v>96.12</v>
      </c>
      <c r="AI27" s="77">
        <v>96.76</v>
      </c>
      <c r="AJ27" s="77">
        <v>96.62</v>
      </c>
      <c r="AK27" s="77">
        <v>98.3</v>
      </c>
      <c r="AL27" s="77">
        <v>97.62</v>
      </c>
      <c r="AM27" s="77">
        <v>100.9</v>
      </c>
      <c r="AN27" s="77">
        <v>103</v>
      </c>
      <c r="AO27" s="77">
        <v>101.15</v>
      </c>
      <c r="AP27" s="77">
        <v>101.85</v>
      </c>
      <c r="AQ27" s="77">
        <v>99.7</v>
      </c>
      <c r="AR27" s="77">
        <v>98.18</v>
      </c>
      <c r="AS27" s="77">
        <v>99.04</v>
      </c>
      <c r="AT27" s="77">
        <v>100.4</v>
      </c>
      <c r="AU27" s="77">
        <v>97.2</v>
      </c>
      <c r="AV27" s="77">
        <v>98.18</v>
      </c>
      <c r="AW27" s="77">
        <v>98.7</v>
      </c>
      <c r="AX27" s="77">
        <v>99.26</v>
      </c>
      <c r="AY27" s="77">
        <v>96.54</v>
      </c>
      <c r="AZ27" s="77">
        <v>96.12</v>
      </c>
      <c r="BA27" s="77">
        <v>95.08</v>
      </c>
      <c r="BB27" s="77">
        <v>94.36</v>
      </c>
      <c r="BC27" s="77">
        <v>92</v>
      </c>
      <c r="BD27" s="77">
        <v>91.12</v>
      </c>
      <c r="BE27" s="77">
        <v>90.42</v>
      </c>
      <c r="BF27" s="77">
        <v>90.02</v>
      </c>
      <c r="BG27" s="77">
        <v>89.22</v>
      </c>
      <c r="BH27" s="77">
        <v>89.9</v>
      </c>
      <c r="BI27" s="77">
        <v>89.34</v>
      </c>
      <c r="BJ27" s="77">
        <v>88.88</v>
      </c>
      <c r="BK27" s="77">
        <v>86.84</v>
      </c>
      <c r="BL27" s="77">
        <v>87.26</v>
      </c>
      <c r="BM27" s="77">
        <v>86.14</v>
      </c>
      <c r="BN27" s="77">
        <v>85.46</v>
      </c>
      <c r="BO27" s="77">
        <v>83.36</v>
      </c>
      <c r="BP27" s="77">
        <v>83.72</v>
      </c>
      <c r="BQ27" s="77">
        <v>83.54</v>
      </c>
      <c r="BR27" s="77">
        <v>82.82</v>
      </c>
      <c r="BS27" s="77">
        <v>83.62</v>
      </c>
      <c r="BT27" s="77">
        <v>84.28</v>
      </c>
      <c r="BU27" s="77">
        <v>84.68</v>
      </c>
      <c r="BV27" s="77">
        <v>84.68</v>
      </c>
      <c r="BW27" s="77">
        <v>85.52</v>
      </c>
      <c r="BX27" s="77">
        <v>85.24</v>
      </c>
      <c r="BY27" s="77">
        <v>83.68</v>
      </c>
      <c r="BZ27" s="77">
        <v>83.12</v>
      </c>
      <c r="CA27" s="77">
        <v>82.1</v>
      </c>
      <c r="CB27" s="77">
        <v>83.38</v>
      </c>
      <c r="CC27" s="77">
        <v>86.84</v>
      </c>
      <c r="CD27" s="77">
        <v>89.2</v>
      </c>
      <c r="CE27" s="77">
        <v>89.6</v>
      </c>
      <c r="CF27" s="77">
        <v>89.24</v>
      </c>
      <c r="CG27" s="77">
        <v>90.26</v>
      </c>
      <c r="CH27" s="77">
        <v>88.72</v>
      </c>
      <c r="CI27" s="77">
        <v>88.2</v>
      </c>
      <c r="CJ27" s="77">
        <v>86.68</v>
      </c>
      <c r="CK27" s="77">
        <v>87.16</v>
      </c>
    </row>
    <row r="28" spans="1:89">
      <c r="A28" s="14" t="s">
        <v>64</v>
      </c>
      <c r="B28" s="15" t="s">
        <v>65</v>
      </c>
      <c r="C28" s="16">
        <v>0.0119</v>
      </c>
      <c r="D28" s="16">
        <v>0.0115</v>
      </c>
      <c r="E28" s="49">
        <f t="shared" si="2"/>
        <v>115000</v>
      </c>
      <c r="F28" s="50">
        <f t="shared" si="0"/>
        <v>2211</v>
      </c>
      <c r="G28" s="51">
        <v>52</v>
      </c>
      <c r="H28" s="52">
        <v>50.62</v>
      </c>
      <c r="I28" s="52">
        <v>50.06</v>
      </c>
      <c r="J28" s="52">
        <v>50.32</v>
      </c>
      <c r="K28" s="52">
        <v>49.29</v>
      </c>
      <c r="L28" s="52">
        <v>49.06</v>
      </c>
      <c r="M28" s="52">
        <v>49.64</v>
      </c>
      <c r="N28" s="52">
        <v>49.85</v>
      </c>
      <c r="O28" s="77">
        <v>50.18</v>
      </c>
      <c r="P28" s="77">
        <v>49.44</v>
      </c>
      <c r="Q28" s="77">
        <v>50.16</v>
      </c>
      <c r="R28" s="77">
        <v>51.04</v>
      </c>
      <c r="S28" s="77">
        <v>50.92</v>
      </c>
      <c r="T28" s="77">
        <v>50.82</v>
      </c>
      <c r="U28" s="77">
        <v>51.66</v>
      </c>
      <c r="V28" s="77">
        <v>52.36</v>
      </c>
      <c r="W28" s="77">
        <v>55.96</v>
      </c>
      <c r="X28" s="77">
        <v>53.98</v>
      </c>
      <c r="Y28" s="77">
        <v>54.8</v>
      </c>
      <c r="Z28" s="77">
        <v>55</v>
      </c>
      <c r="AA28" s="16">
        <v>0.018125654452</v>
      </c>
      <c r="AB28" s="49">
        <f t="shared" si="3"/>
        <v>181256.54452</v>
      </c>
      <c r="AC28" s="50">
        <f t="shared" si="1"/>
        <v>3200</v>
      </c>
      <c r="AD28" s="77">
        <v>55.58</v>
      </c>
      <c r="AE28" s="77">
        <v>56.64</v>
      </c>
      <c r="AF28" s="77">
        <v>57.56</v>
      </c>
      <c r="AG28" s="77">
        <v>57.58</v>
      </c>
      <c r="AH28" s="77">
        <v>58.36</v>
      </c>
      <c r="AI28" s="77">
        <v>57.72</v>
      </c>
      <c r="AJ28" s="77">
        <v>58.5</v>
      </c>
      <c r="AK28" s="77">
        <v>58.78</v>
      </c>
      <c r="AL28" s="77">
        <v>57.76</v>
      </c>
      <c r="AM28" s="77">
        <v>58.32</v>
      </c>
      <c r="AN28" s="77">
        <v>57.42</v>
      </c>
      <c r="AO28" s="77">
        <v>57.86</v>
      </c>
      <c r="AP28" s="77">
        <v>57.84</v>
      </c>
      <c r="AQ28" s="77">
        <v>55.82</v>
      </c>
      <c r="AR28" s="77">
        <v>52</v>
      </c>
      <c r="AS28" s="77">
        <v>52</v>
      </c>
      <c r="AT28" s="77">
        <v>52.3</v>
      </c>
      <c r="AU28" s="77">
        <v>52.72</v>
      </c>
      <c r="AV28" s="77">
        <v>53.2</v>
      </c>
      <c r="AW28" s="77">
        <v>52.5</v>
      </c>
      <c r="AX28" s="77">
        <v>52.82</v>
      </c>
      <c r="AY28" s="77">
        <v>54.08</v>
      </c>
      <c r="AZ28" s="77">
        <v>53.04</v>
      </c>
      <c r="BA28" s="77">
        <v>53.76</v>
      </c>
      <c r="BB28" s="77">
        <v>54.32</v>
      </c>
      <c r="BC28" s="77">
        <v>55.82</v>
      </c>
      <c r="BD28" s="77">
        <v>57.6</v>
      </c>
      <c r="BE28" s="77">
        <v>57.26</v>
      </c>
      <c r="BF28" s="77">
        <v>58.86</v>
      </c>
      <c r="BG28" s="77">
        <v>56.76</v>
      </c>
      <c r="BH28" s="77">
        <v>56.58</v>
      </c>
      <c r="BI28" s="77">
        <v>57.4</v>
      </c>
      <c r="BJ28" s="77">
        <v>58.14</v>
      </c>
      <c r="BK28" s="77">
        <v>57.36</v>
      </c>
      <c r="BL28" s="77">
        <v>56.84</v>
      </c>
      <c r="BM28" s="77">
        <v>57.2</v>
      </c>
      <c r="BN28" s="77">
        <v>56.56</v>
      </c>
      <c r="BO28" s="77">
        <v>57.36</v>
      </c>
      <c r="BP28" s="77">
        <v>56.62</v>
      </c>
      <c r="BQ28" s="77">
        <v>56.36</v>
      </c>
      <c r="BR28" s="77">
        <v>56.82</v>
      </c>
      <c r="BS28" s="77">
        <v>56.72</v>
      </c>
      <c r="BT28" s="77">
        <v>56.72</v>
      </c>
      <c r="BU28" s="77">
        <v>54.32</v>
      </c>
      <c r="BV28" s="77">
        <v>53.3</v>
      </c>
      <c r="BW28" s="77">
        <v>54.42</v>
      </c>
      <c r="BX28" s="77">
        <v>54.36</v>
      </c>
      <c r="BY28" s="77">
        <v>53.86</v>
      </c>
      <c r="BZ28" s="77">
        <v>53.72</v>
      </c>
      <c r="CA28" s="77">
        <v>55.02</v>
      </c>
      <c r="CB28" s="77">
        <v>55.56</v>
      </c>
      <c r="CC28" s="77">
        <v>56.52</v>
      </c>
      <c r="CD28" s="77">
        <v>53.64</v>
      </c>
      <c r="CE28" s="77">
        <v>53</v>
      </c>
      <c r="CF28" s="77">
        <v>53.12</v>
      </c>
      <c r="CG28" s="77">
        <v>52.88</v>
      </c>
      <c r="CH28" s="77">
        <v>53.58</v>
      </c>
      <c r="CI28" s="77">
        <v>53.68</v>
      </c>
      <c r="CJ28" s="77">
        <v>53.6</v>
      </c>
      <c r="CK28" s="77">
        <v>54.26</v>
      </c>
    </row>
    <row r="29" spans="1:89">
      <c r="A29" s="14" t="s">
        <v>66</v>
      </c>
      <c r="B29" s="15" t="s">
        <v>67</v>
      </c>
      <c r="C29" s="16">
        <v>0.0112</v>
      </c>
      <c r="D29" s="16">
        <v>0.0343</v>
      </c>
      <c r="E29" s="49">
        <f t="shared" si="2"/>
        <v>343000</v>
      </c>
      <c r="F29" s="50">
        <f t="shared" si="0"/>
        <v>11205</v>
      </c>
      <c r="G29" s="51">
        <v>30.61</v>
      </c>
      <c r="H29" s="52">
        <v>30.69</v>
      </c>
      <c r="I29" s="52">
        <v>30.8</v>
      </c>
      <c r="J29" s="52">
        <v>30.96</v>
      </c>
      <c r="K29" s="52">
        <v>30.24</v>
      </c>
      <c r="L29" s="52">
        <v>30.19</v>
      </c>
      <c r="M29" s="52">
        <v>29.95</v>
      </c>
      <c r="N29" s="52">
        <v>30.27</v>
      </c>
      <c r="O29" s="77">
        <v>30.62</v>
      </c>
      <c r="P29" s="77">
        <v>30.94</v>
      </c>
      <c r="Q29" s="77">
        <v>30.62</v>
      </c>
      <c r="R29" s="77">
        <v>30.7</v>
      </c>
      <c r="S29" s="77">
        <v>30.71</v>
      </c>
      <c r="T29" s="77">
        <v>30.43</v>
      </c>
      <c r="U29" s="77">
        <v>30.56</v>
      </c>
      <c r="V29" s="77">
        <v>30.24</v>
      </c>
      <c r="W29" s="77">
        <v>29.7</v>
      </c>
      <c r="X29" s="77">
        <v>29.29</v>
      </c>
      <c r="Y29" s="77">
        <v>29.55</v>
      </c>
      <c r="Z29" s="77">
        <v>29.54</v>
      </c>
      <c r="AA29" s="16">
        <v>0.011128548558541</v>
      </c>
      <c r="AB29" s="49">
        <f t="shared" si="3"/>
        <v>111285.48558541</v>
      </c>
      <c r="AC29" s="50">
        <f t="shared" si="1"/>
        <v>3702</v>
      </c>
      <c r="AD29" s="77">
        <v>29.66</v>
      </c>
      <c r="AE29" s="77">
        <v>30.06</v>
      </c>
      <c r="AF29" s="77">
        <v>29.95</v>
      </c>
      <c r="AG29" s="77">
        <v>29.91</v>
      </c>
      <c r="AH29" s="77">
        <v>29.83</v>
      </c>
      <c r="AI29" s="77">
        <v>29.88</v>
      </c>
      <c r="AJ29" s="77">
        <v>30.55</v>
      </c>
      <c r="AK29" s="77">
        <v>30.85</v>
      </c>
      <c r="AL29" s="77">
        <v>30.16</v>
      </c>
      <c r="AM29" s="77">
        <v>30.56</v>
      </c>
      <c r="AN29" s="77">
        <v>30.66</v>
      </c>
      <c r="AO29" s="77">
        <v>30.39</v>
      </c>
      <c r="AP29" s="77">
        <v>30.37</v>
      </c>
      <c r="AQ29" s="77">
        <v>29.21</v>
      </c>
      <c r="AR29" s="77">
        <v>28.67</v>
      </c>
      <c r="AS29" s="77">
        <v>28.34</v>
      </c>
      <c r="AT29" s="77">
        <v>28.3</v>
      </c>
      <c r="AU29" s="77">
        <v>28.21</v>
      </c>
      <c r="AV29" s="77">
        <v>27.89</v>
      </c>
      <c r="AW29" s="77">
        <v>27.57</v>
      </c>
      <c r="AX29" s="77">
        <v>28.01</v>
      </c>
      <c r="AY29" s="77">
        <v>28.42</v>
      </c>
      <c r="AZ29" s="77">
        <v>28.42</v>
      </c>
      <c r="BA29" s="77">
        <v>28.61</v>
      </c>
      <c r="BB29" s="77">
        <v>28.82</v>
      </c>
      <c r="BC29" s="77">
        <v>29</v>
      </c>
      <c r="BD29" s="77">
        <v>29.08</v>
      </c>
      <c r="BE29" s="77">
        <v>29.14</v>
      </c>
      <c r="BF29" s="77">
        <v>29.2</v>
      </c>
      <c r="BG29" s="77">
        <v>28.74</v>
      </c>
      <c r="BH29" s="77">
        <v>28.62</v>
      </c>
      <c r="BI29" s="77">
        <v>28.56</v>
      </c>
      <c r="BJ29" s="77">
        <v>28.8</v>
      </c>
      <c r="BK29" s="77">
        <v>29.06</v>
      </c>
      <c r="BL29" s="77">
        <v>29</v>
      </c>
      <c r="BM29" s="77">
        <v>28.81</v>
      </c>
      <c r="BN29" s="77">
        <v>28.73</v>
      </c>
      <c r="BO29" s="77">
        <v>29.02</v>
      </c>
      <c r="BP29" s="77">
        <v>28.8</v>
      </c>
      <c r="BQ29" s="77">
        <v>28.98</v>
      </c>
      <c r="BR29" s="77">
        <v>28.95</v>
      </c>
      <c r="BS29" s="77">
        <v>29.22</v>
      </c>
      <c r="BT29" s="77">
        <v>29.16</v>
      </c>
      <c r="BU29" s="77">
        <v>28.46</v>
      </c>
      <c r="BV29" s="77">
        <v>28.44</v>
      </c>
      <c r="BW29" s="77">
        <v>28.54</v>
      </c>
      <c r="BX29" s="77">
        <v>29.01</v>
      </c>
      <c r="BY29" s="77">
        <v>28.81</v>
      </c>
      <c r="BZ29" s="77">
        <v>28.92</v>
      </c>
      <c r="CA29" s="77">
        <v>29.23</v>
      </c>
      <c r="CB29" s="77">
        <v>29.57</v>
      </c>
      <c r="CC29" s="77">
        <v>29.9</v>
      </c>
      <c r="CD29" s="77">
        <v>29.97</v>
      </c>
      <c r="CE29" s="77">
        <v>29.58</v>
      </c>
      <c r="CF29" s="77">
        <v>29.74</v>
      </c>
      <c r="CG29" s="77">
        <v>29.73</v>
      </c>
      <c r="CH29" s="77">
        <v>29.65</v>
      </c>
      <c r="CI29" s="77">
        <v>29.6</v>
      </c>
      <c r="CJ29" s="77">
        <v>29.47</v>
      </c>
      <c r="CK29" s="77">
        <v>29.44</v>
      </c>
    </row>
    <row r="30" spans="1:89">
      <c r="A30" s="14" t="s">
        <v>68</v>
      </c>
      <c r="B30" s="15" t="s">
        <v>69</v>
      </c>
      <c r="C30" s="16">
        <v>0.0107</v>
      </c>
      <c r="D30" s="16">
        <v>0.017</v>
      </c>
      <c r="E30" s="49">
        <f t="shared" si="2"/>
        <v>170000</v>
      </c>
      <c r="F30" s="50">
        <f t="shared" si="0"/>
        <v>12972</v>
      </c>
      <c r="G30" s="51">
        <v>13.105</v>
      </c>
      <c r="H30" s="52">
        <v>12.97</v>
      </c>
      <c r="I30" s="52">
        <v>12.99</v>
      </c>
      <c r="J30" s="52">
        <v>13.215</v>
      </c>
      <c r="K30" s="52">
        <v>13.07</v>
      </c>
      <c r="L30" s="52">
        <v>13.17</v>
      </c>
      <c r="M30" s="52">
        <v>13.18</v>
      </c>
      <c r="N30" s="52">
        <v>13.19</v>
      </c>
      <c r="O30" s="77">
        <v>13.065</v>
      </c>
      <c r="P30" s="77">
        <v>13.22</v>
      </c>
      <c r="Q30" s="77">
        <v>13.115</v>
      </c>
      <c r="R30" s="77">
        <v>13.3</v>
      </c>
      <c r="S30" s="77">
        <v>13.32</v>
      </c>
      <c r="T30" s="77">
        <v>13.045</v>
      </c>
      <c r="U30" s="77">
        <v>13.315</v>
      </c>
      <c r="V30" s="77">
        <v>13.33</v>
      </c>
      <c r="W30" s="77">
        <v>13.345</v>
      </c>
      <c r="X30" s="77">
        <v>13.825</v>
      </c>
      <c r="Y30" s="77">
        <v>13.735</v>
      </c>
      <c r="Z30" s="77">
        <v>13.775</v>
      </c>
      <c r="AA30" s="16">
        <v>0.00984587458745147</v>
      </c>
      <c r="AB30" s="49">
        <f t="shared" si="3"/>
        <v>98458.7458745147</v>
      </c>
      <c r="AC30" s="50">
        <f t="shared" si="1"/>
        <v>7129</v>
      </c>
      <c r="AD30" s="77">
        <v>13.89</v>
      </c>
      <c r="AE30" s="77">
        <v>13.81</v>
      </c>
      <c r="AF30" s="77">
        <v>13.93</v>
      </c>
      <c r="AG30" s="77">
        <v>14.15</v>
      </c>
      <c r="AH30" s="77">
        <v>14.1</v>
      </c>
      <c r="AI30" s="77">
        <v>14.3</v>
      </c>
      <c r="AJ30" s="77">
        <v>14.41</v>
      </c>
      <c r="AK30" s="77">
        <v>14.44</v>
      </c>
      <c r="AL30" s="77">
        <v>14.485</v>
      </c>
      <c r="AM30" s="77">
        <v>14.385</v>
      </c>
      <c r="AN30" s="77">
        <v>14.485</v>
      </c>
      <c r="AO30" s="77">
        <v>14.46</v>
      </c>
      <c r="AP30" s="77">
        <v>14.48</v>
      </c>
      <c r="AQ30" s="77">
        <v>14.215</v>
      </c>
      <c r="AR30" s="77">
        <v>13.875</v>
      </c>
      <c r="AS30" s="77">
        <v>13.86</v>
      </c>
      <c r="AT30" s="77">
        <v>13.735</v>
      </c>
      <c r="AU30" s="77">
        <v>13.9</v>
      </c>
      <c r="AV30" s="77">
        <v>13.89</v>
      </c>
      <c r="AW30" s="77">
        <v>13.785</v>
      </c>
      <c r="AX30" s="77">
        <v>13.525</v>
      </c>
      <c r="AY30" s="77">
        <v>13.715</v>
      </c>
      <c r="AZ30" s="77">
        <v>13.625</v>
      </c>
      <c r="BA30" s="77">
        <v>13.525</v>
      </c>
      <c r="BB30" s="77">
        <v>13.67</v>
      </c>
      <c r="BC30" s="77">
        <v>13.72</v>
      </c>
      <c r="BD30" s="77">
        <v>13.89</v>
      </c>
      <c r="BE30" s="77">
        <v>13.9</v>
      </c>
      <c r="BF30" s="77">
        <v>13.825</v>
      </c>
      <c r="BG30" s="77">
        <v>13.67</v>
      </c>
      <c r="BH30" s="77">
        <v>13.68</v>
      </c>
      <c r="BI30" s="77">
        <v>13.62</v>
      </c>
      <c r="BJ30" s="77">
        <v>13.705</v>
      </c>
      <c r="BK30" s="77">
        <v>13.71</v>
      </c>
      <c r="BL30" s="77">
        <v>13.62</v>
      </c>
      <c r="BM30" s="77">
        <v>13.475</v>
      </c>
      <c r="BN30" s="77">
        <v>13.63</v>
      </c>
      <c r="BO30" s="77">
        <v>13.76</v>
      </c>
      <c r="BP30" s="77">
        <v>13.7</v>
      </c>
      <c r="BQ30" s="77">
        <v>13.81</v>
      </c>
      <c r="BR30" s="77">
        <v>13.705</v>
      </c>
      <c r="BS30" s="77">
        <v>13.535</v>
      </c>
      <c r="BT30" s="77">
        <v>13.32</v>
      </c>
      <c r="BU30" s="77">
        <v>13.185</v>
      </c>
      <c r="BV30" s="77">
        <v>13.215</v>
      </c>
      <c r="BW30" s="77">
        <v>13.39</v>
      </c>
      <c r="BX30" s="77">
        <v>13.56</v>
      </c>
      <c r="BY30" s="77">
        <v>13.59</v>
      </c>
      <c r="BZ30" s="77">
        <v>13.43</v>
      </c>
      <c r="CA30" s="77">
        <v>13.57</v>
      </c>
      <c r="CB30" s="77">
        <v>14.015</v>
      </c>
      <c r="CC30" s="77">
        <v>14.085</v>
      </c>
      <c r="CD30" s="77">
        <v>14.335</v>
      </c>
      <c r="CE30" s="77">
        <v>14.16</v>
      </c>
      <c r="CF30" s="77">
        <v>14.125</v>
      </c>
      <c r="CG30" s="77">
        <v>14.07</v>
      </c>
      <c r="CH30" s="77">
        <v>14.15</v>
      </c>
      <c r="CI30" s="77">
        <v>13.92</v>
      </c>
      <c r="CJ30" s="77">
        <v>13.85</v>
      </c>
      <c r="CK30" s="77">
        <v>13.89</v>
      </c>
    </row>
    <row r="31" spans="1:89">
      <c r="A31" s="14" t="s">
        <v>70</v>
      </c>
      <c r="B31" s="15" t="s">
        <v>71</v>
      </c>
      <c r="C31" s="16">
        <v>0.0106</v>
      </c>
      <c r="D31" s="16">
        <v>0.006</v>
      </c>
      <c r="E31" s="49">
        <f t="shared" si="2"/>
        <v>60000</v>
      </c>
      <c r="F31" s="50">
        <f t="shared" si="0"/>
        <v>300</v>
      </c>
      <c r="G31" s="51">
        <v>199.8</v>
      </c>
      <c r="H31" s="52">
        <v>206.4</v>
      </c>
      <c r="I31" s="52">
        <v>198.68</v>
      </c>
      <c r="J31" s="52">
        <v>196.98</v>
      </c>
      <c r="K31" s="52">
        <v>196.66</v>
      </c>
      <c r="L31" s="52">
        <v>192.2</v>
      </c>
      <c r="M31" s="52">
        <v>192.4</v>
      </c>
      <c r="N31" s="52">
        <v>197.34</v>
      </c>
      <c r="O31" s="77">
        <v>197.34</v>
      </c>
      <c r="P31" s="77">
        <v>202.6</v>
      </c>
      <c r="Q31" s="77">
        <v>212.6</v>
      </c>
      <c r="R31" s="77">
        <v>212.4</v>
      </c>
      <c r="S31" s="77">
        <v>221.8</v>
      </c>
      <c r="T31" s="77">
        <v>215.9</v>
      </c>
      <c r="U31" s="77">
        <v>212.45</v>
      </c>
      <c r="V31" s="77">
        <v>215.9</v>
      </c>
      <c r="W31" s="77">
        <v>216.5</v>
      </c>
      <c r="X31" s="77">
        <v>216.15</v>
      </c>
      <c r="Y31" s="77">
        <v>215.05</v>
      </c>
      <c r="Z31" s="77">
        <v>211.4</v>
      </c>
      <c r="AA31" s="16">
        <v>0.045854854175523</v>
      </c>
      <c r="AB31" s="49">
        <f t="shared" si="3"/>
        <v>458548.54175523</v>
      </c>
      <c r="AC31" s="50">
        <f t="shared" si="1"/>
        <v>2151</v>
      </c>
      <c r="AD31" s="77">
        <v>209.25</v>
      </c>
      <c r="AE31" s="77">
        <v>213.1</v>
      </c>
      <c r="AF31" s="77">
        <v>215.65</v>
      </c>
      <c r="AG31" s="77">
        <v>213.1</v>
      </c>
      <c r="AH31" s="77">
        <v>213.35</v>
      </c>
      <c r="AI31" s="77">
        <v>217.35</v>
      </c>
      <c r="AJ31" s="77">
        <v>211.75</v>
      </c>
      <c r="AK31" s="77">
        <v>211.65</v>
      </c>
      <c r="AL31" s="77">
        <v>210.25</v>
      </c>
      <c r="AM31" s="77">
        <v>216.5</v>
      </c>
      <c r="AN31" s="77">
        <v>221.65</v>
      </c>
      <c r="AO31" s="77">
        <v>218.35</v>
      </c>
      <c r="AP31" s="77">
        <v>223.8</v>
      </c>
      <c r="AQ31" s="77">
        <v>224.25</v>
      </c>
      <c r="AR31" s="77">
        <v>225.45</v>
      </c>
      <c r="AS31" s="77">
        <v>229.5</v>
      </c>
      <c r="AT31" s="77">
        <v>235</v>
      </c>
      <c r="AU31" s="77">
        <v>229.15</v>
      </c>
      <c r="AV31" s="77">
        <v>229.8</v>
      </c>
      <c r="AW31" s="77">
        <v>238.6</v>
      </c>
      <c r="AX31" s="77">
        <v>236.45</v>
      </c>
      <c r="AY31" s="77">
        <v>232.65</v>
      </c>
      <c r="AZ31" s="77">
        <v>237.35</v>
      </c>
      <c r="BA31" s="77">
        <v>238.9</v>
      </c>
      <c r="BB31" s="77">
        <v>233.25</v>
      </c>
      <c r="BC31" s="77">
        <v>233.5</v>
      </c>
      <c r="BD31" s="77">
        <v>239.15</v>
      </c>
      <c r="BE31" s="77">
        <v>241.3</v>
      </c>
      <c r="BF31" s="77">
        <v>255.35</v>
      </c>
      <c r="BG31" s="77">
        <v>263.3</v>
      </c>
      <c r="BH31" s="77">
        <v>266.95</v>
      </c>
      <c r="BI31" s="77">
        <v>268.75</v>
      </c>
      <c r="BJ31" s="77">
        <v>267.95</v>
      </c>
      <c r="BK31" s="77">
        <v>265</v>
      </c>
      <c r="BL31" s="77">
        <v>270</v>
      </c>
      <c r="BM31" s="77">
        <v>273.4</v>
      </c>
      <c r="BN31" s="77">
        <v>270.9</v>
      </c>
      <c r="BO31" s="77">
        <v>275</v>
      </c>
      <c r="BP31" s="77">
        <v>287.95</v>
      </c>
      <c r="BQ31" s="77">
        <v>282.55</v>
      </c>
      <c r="BR31" s="77">
        <v>283.35</v>
      </c>
      <c r="BS31" s="77">
        <v>286.9</v>
      </c>
      <c r="BT31" s="77">
        <v>297.85</v>
      </c>
      <c r="BU31" s="77">
        <v>292.4</v>
      </c>
      <c r="BV31" s="77">
        <v>309.2</v>
      </c>
      <c r="BW31" s="77">
        <v>314.8</v>
      </c>
      <c r="BX31" s="77">
        <v>312.1</v>
      </c>
      <c r="BY31" s="77">
        <v>309</v>
      </c>
      <c r="BZ31" s="77">
        <v>303.75</v>
      </c>
      <c r="CA31" s="77">
        <v>298.9</v>
      </c>
      <c r="CB31" s="77">
        <v>313.15</v>
      </c>
      <c r="CC31" s="77">
        <v>308.5</v>
      </c>
      <c r="CD31" s="77">
        <v>309.55</v>
      </c>
      <c r="CE31" s="77">
        <v>324.5</v>
      </c>
      <c r="CF31" s="77">
        <v>324</v>
      </c>
      <c r="CG31" s="77">
        <v>317.3</v>
      </c>
      <c r="CH31" s="77">
        <v>344.95</v>
      </c>
      <c r="CI31" s="77">
        <v>331.65</v>
      </c>
      <c r="CJ31" s="77">
        <v>327.9</v>
      </c>
      <c r="CK31" s="77">
        <v>327.9</v>
      </c>
    </row>
    <row r="32" spans="1:89">
      <c r="A32" s="14" t="s">
        <v>72</v>
      </c>
      <c r="B32" s="15" t="s">
        <v>73</v>
      </c>
      <c r="C32" s="16">
        <v>0.0093</v>
      </c>
      <c r="D32" s="16">
        <v>0.022</v>
      </c>
      <c r="E32" s="49">
        <f t="shared" si="2"/>
        <v>220000</v>
      </c>
      <c r="F32" s="50">
        <f t="shared" si="0"/>
        <v>8121</v>
      </c>
      <c r="G32" s="51">
        <v>27.09</v>
      </c>
      <c r="H32" s="52">
        <v>28.265</v>
      </c>
      <c r="I32" s="52">
        <v>27.66</v>
      </c>
      <c r="J32" s="52">
        <v>27.255</v>
      </c>
      <c r="K32" s="52">
        <v>27.42</v>
      </c>
      <c r="L32" s="52">
        <v>26.875</v>
      </c>
      <c r="M32" s="52">
        <v>27.655</v>
      </c>
      <c r="N32" s="52">
        <v>27.98</v>
      </c>
      <c r="O32" s="77">
        <v>28.405</v>
      </c>
      <c r="P32" s="77">
        <v>28.16</v>
      </c>
      <c r="Q32" s="77">
        <v>26.98</v>
      </c>
      <c r="R32" s="77">
        <v>22.495</v>
      </c>
      <c r="S32" s="77">
        <v>22.245</v>
      </c>
      <c r="T32" s="77">
        <v>22.855</v>
      </c>
      <c r="U32" s="77">
        <v>22.94</v>
      </c>
      <c r="V32" s="77">
        <v>22.96</v>
      </c>
      <c r="W32" s="77">
        <v>22.455</v>
      </c>
      <c r="X32" s="77">
        <v>21.695</v>
      </c>
      <c r="Y32" s="77">
        <v>21.765</v>
      </c>
      <c r="Z32" s="77">
        <v>21.605</v>
      </c>
      <c r="AA32" s="16">
        <v>0.010780230473913</v>
      </c>
      <c r="AB32" s="49">
        <f t="shared" si="3"/>
        <v>107802.30473913</v>
      </c>
      <c r="AC32" s="50">
        <f t="shared" si="1"/>
        <v>5046</v>
      </c>
      <c r="AD32" s="77">
        <v>21.3</v>
      </c>
      <c r="AE32" s="77">
        <v>21.36</v>
      </c>
      <c r="AF32" s="77">
        <v>21.765</v>
      </c>
      <c r="AG32" s="77">
        <v>21.515</v>
      </c>
      <c r="AH32" s="77">
        <v>22.415</v>
      </c>
      <c r="AI32" s="77">
        <v>22.19</v>
      </c>
      <c r="AJ32" s="77">
        <v>22.11</v>
      </c>
      <c r="AK32" s="77">
        <v>22.035</v>
      </c>
      <c r="AL32" s="77">
        <v>22.225</v>
      </c>
      <c r="AM32" s="77">
        <v>22.325</v>
      </c>
      <c r="AN32" s="77">
        <v>22.135</v>
      </c>
      <c r="AO32" s="77">
        <v>22.375</v>
      </c>
      <c r="AP32" s="77">
        <v>23.435</v>
      </c>
      <c r="AQ32" s="77">
        <v>23.53</v>
      </c>
      <c r="AR32" s="77">
        <v>23.36</v>
      </c>
      <c r="AS32" s="77">
        <v>23.25</v>
      </c>
      <c r="AT32" s="77">
        <v>23.785</v>
      </c>
      <c r="AU32" s="77">
        <v>23.25</v>
      </c>
      <c r="AV32" s="77">
        <v>23.06</v>
      </c>
      <c r="AW32" s="77">
        <v>22.185</v>
      </c>
      <c r="AX32" s="77">
        <v>21.795</v>
      </c>
      <c r="AY32" s="77">
        <v>21.97</v>
      </c>
      <c r="AZ32" s="77">
        <v>22.8</v>
      </c>
      <c r="BA32" s="77">
        <v>22.645</v>
      </c>
      <c r="BB32" s="77">
        <v>22.26</v>
      </c>
      <c r="BC32" s="77">
        <v>22.195</v>
      </c>
      <c r="BD32" s="77">
        <v>22.27</v>
      </c>
      <c r="BE32" s="77">
        <v>22.185</v>
      </c>
      <c r="BF32" s="77">
        <v>23.085</v>
      </c>
      <c r="BG32" s="77">
        <v>22.86</v>
      </c>
      <c r="BH32" s="77">
        <v>23.12</v>
      </c>
      <c r="BI32" s="77">
        <v>24.19</v>
      </c>
      <c r="BJ32" s="77">
        <v>23.525</v>
      </c>
      <c r="BK32" s="77">
        <v>23.97</v>
      </c>
      <c r="BL32" s="77">
        <v>24.6</v>
      </c>
      <c r="BM32" s="77">
        <v>24.7</v>
      </c>
      <c r="BN32" s="77">
        <v>24.32</v>
      </c>
      <c r="BO32" s="77">
        <v>23.815</v>
      </c>
      <c r="BP32" s="77">
        <v>23.97</v>
      </c>
      <c r="BQ32" s="77">
        <v>23.85</v>
      </c>
      <c r="BR32" s="77">
        <v>24.09</v>
      </c>
      <c r="BS32" s="77">
        <v>24.595</v>
      </c>
      <c r="BT32" s="77">
        <v>24.81</v>
      </c>
      <c r="BU32" s="77">
        <v>24.86</v>
      </c>
      <c r="BV32" s="77">
        <v>24.4</v>
      </c>
      <c r="BW32" s="77">
        <v>24.695</v>
      </c>
      <c r="BX32" s="77">
        <v>24.7</v>
      </c>
      <c r="BY32" s="77">
        <v>23.975</v>
      </c>
      <c r="BZ32" s="77">
        <v>24.725</v>
      </c>
      <c r="CA32" s="77">
        <v>24.43</v>
      </c>
      <c r="CB32" s="77">
        <v>24.725</v>
      </c>
      <c r="CC32" s="77">
        <v>25.265</v>
      </c>
      <c r="CD32" s="77">
        <v>24.82</v>
      </c>
      <c r="CE32" s="77">
        <v>25.96</v>
      </c>
      <c r="CF32" s="77">
        <v>26.57</v>
      </c>
      <c r="CG32" s="77">
        <v>25.49</v>
      </c>
      <c r="CH32" s="77">
        <v>21.89</v>
      </c>
      <c r="CI32" s="77">
        <v>21.555</v>
      </c>
      <c r="CJ32" s="77">
        <v>21.76</v>
      </c>
      <c r="CK32" s="77">
        <v>21.86</v>
      </c>
    </row>
    <row r="33" spans="1:89">
      <c r="A33" s="14" t="s">
        <v>74</v>
      </c>
      <c r="B33" s="15" t="s">
        <v>75</v>
      </c>
      <c r="C33" s="16">
        <v>0.0087</v>
      </c>
      <c r="D33" s="16">
        <v>0.058</v>
      </c>
      <c r="E33" s="49">
        <f t="shared" si="2"/>
        <v>580000</v>
      </c>
      <c r="F33" s="50">
        <f t="shared" si="0"/>
        <v>2339</v>
      </c>
      <c r="G33" s="51">
        <v>247.9</v>
      </c>
      <c r="H33" s="52">
        <v>246.3</v>
      </c>
      <c r="I33" s="52">
        <v>251</v>
      </c>
      <c r="J33" s="52">
        <v>254.6</v>
      </c>
      <c r="K33" s="52">
        <v>248</v>
      </c>
      <c r="L33" s="52">
        <v>246.5</v>
      </c>
      <c r="M33" s="52">
        <v>248.8</v>
      </c>
      <c r="N33" s="52">
        <v>250.5</v>
      </c>
      <c r="O33" s="77">
        <v>246.5</v>
      </c>
      <c r="P33" s="77">
        <v>243.8</v>
      </c>
      <c r="Q33" s="77">
        <v>238</v>
      </c>
      <c r="R33" s="77">
        <v>238.2</v>
      </c>
      <c r="S33" s="77">
        <v>240.1</v>
      </c>
      <c r="T33" s="77">
        <v>229.7</v>
      </c>
      <c r="U33" s="77">
        <v>235.9</v>
      </c>
      <c r="V33" s="77">
        <v>235.1</v>
      </c>
      <c r="W33" s="77">
        <v>235.8</v>
      </c>
      <c r="X33" s="77">
        <v>235.5</v>
      </c>
      <c r="Y33" s="77">
        <v>236.5</v>
      </c>
      <c r="Z33" s="77">
        <v>236.9</v>
      </c>
      <c r="AA33" s="16">
        <v>0.00730148952985285</v>
      </c>
      <c r="AB33" s="49">
        <f t="shared" si="3"/>
        <v>73014.8952985285</v>
      </c>
      <c r="AC33" s="50">
        <f t="shared" si="1"/>
        <v>315</v>
      </c>
      <c r="AD33" s="77">
        <v>238.5</v>
      </c>
      <c r="AE33" s="77">
        <v>231.2</v>
      </c>
      <c r="AF33" s="77">
        <v>229</v>
      </c>
      <c r="AG33" s="77">
        <v>228.3</v>
      </c>
      <c r="AH33" s="77">
        <v>230.8</v>
      </c>
      <c r="AI33" s="77">
        <v>231.6</v>
      </c>
      <c r="AJ33" s="77">
        <v>237.5</v>
      </c>
      <c r="AK33" s="77">
        <v>235.4</v>
      </c>
      <c r="AL33" s="77">
        <v>238.6</v>
      </c>
      <c r="AM33" s="77">
        <v>228.8</v>
      </c>
      <c r="AN33" s="77">
        <v>229.4</v>
      </c>
      <c r="AO33" s="77">
        <v>231.3</v>
      </c>
      <c r="AP33" s="77">
        <v>232.3</v>
      </c>
      <c r="AQ33" s="77">
        <v>232.4</v>
      </c>
      <c r="AR33" s="77">
        <v>225.2</v>
      </c>
      <c r="AS33" s="77">
        <v>227.2</v>
      </c>
      <c r="AT33" s="77">
        <v>226</v>
      </c>
      <c r="AU33" s="77">
        <v>225.2</v>
      </c>
      <c r="AV33" s="77">
        <v>224.2</v>
      </c>
      <c r="AW33" s="77">
        <v>220.2</v>
      </c>
      <c r="AX33" s="77">
        <v>223.8</v>
      </c>
      <c r="AY33" s="77">
        <v>222.1</v>
      </c>
      <c r="AZ33" s="77">
        <v>222.2</v>
      </c>
      <c r="BA33" s="77">
        <v>224.6</v>
      </c>
      <c r="BB33" s="77">
        <v>228.2</v>
      </c>
      <c r="BC33" s="77">
        <v>235.1</v>
      </c>
      <c r="BD33" s="77">
        <v>243.7</v>
      </c>
      <c r="BE33" s="77">
        <v>250.5</v>
      </c>
      <c r="BF33" s="77">
        <v>262.2</v>
      </c>
      <c r="BG33" s="77">
        <v>257.7</v>
      </c>
      <c r="BH33" s="77">
        <v>253.3</v>
      </c>
      <c r="BI33" s="77">
        <v>252.8</v>
      </c>
      <c r="BJ33" s="77">
        <v>247.2</v>
      </c>
      <c r="BK33" s="77">
        <v>250.8</v>
      </c>
      <c r="BL33" s="77">
        <v>250.4</v>
      </c>
      <c r="BM33" s="77">
        <v>256.3</v>
      </c>
      <c r="BN33" s="77">
        <v>256.4</v>
      </c>
      <c r="BO33" s="77">
        <v>259.3</v>
      </c>
      <c r="BP33" s="77">
        <v>263.5</v>
      </c>
      <c r="BQ33" s="77">
        <v>266.6</v>
      </c>
      <c r="BR33" s="77">
        <v>264</v>
      </c>
      <c r="BS33" s="77">
        <v>273</v>
      </c>
      <c r="BT33" s="77">
        <v>271</v>
      </c>
      <c r="BU33" s="77">
        <v>262.3</v>
      </c>
      <c r="BV33" s="77">
        <v>260.3</v>
      </c>
      <c r="BW33" s="77">
        <v>264.8</v>
      </c>
      <c r="BX33" s="77">
        <v>262.8</v>
      </c>
      <c r="BY33" s="77">
        <v>257.5</v>
      </c>
      <c r="BZ33" s="77">
        <v>255</v>
      </c>
      <c r="CA33" s="77">
        <v>257.6</v>
      </c>
      <c r="CB33" s="77">
        <v>249.4</v>
      </c>
      <c r="CC33" s="77">
        <v>253.8</v>
      </c>
      <c r="CD33" s="77">
        <v>245.4</v>
      </c>
      <c r="CE33" s="77">
        <v>254.5</v>
      </c>
      <c r="CF33" s="77">
        <v>255.7</v>
      </c>
      <c r="CG33" s="77">
        <v>259.2</v>
      </c>
      <c r="CH33" s="77">
        <v>260.7</v>
      </c>
      <c r="CI33" s="77">
        <v>253.4</v>
      </c>
      <c r="CJ33" s="77">
        <v>251.6</v>
      </c>
      <c r="CK33" s="77">
        <v>252.7</v>
      </c>
    </row>
    <row r="34" spans="1:89">
      <c r="A34" s="14" t="s">
        <v>76</v>
      </c>
      <c r="B34" s="15" t="s">
        <v>77</v>
      </c>
      <c r="C34" s="16">
        <v>0.0072</v>
      </c>
      <c r="D34" s="16">
        <v>0.0255</v>
      </c>
      <c r="E34" s="49">
        <f t="shared" si="2"/>
        <v>255000</v>
      </c>
      <c r="F34" s="50">
        <f t="shared" si="0"/>
        <v>15548</v>
      </c>
      <c r="G34" s="51">
        <v>16.4</v>
      </c>
      <c r="H34" s="52">
        <v>16.25</v>
      </c>
      <c r="I34" s="52">
        <v>16</v>
      </c>
      <c r="J34" s="52">
        <v>16.035</v>
      </c>
      <c r="K34" s="52">
        <v>15.865</v>
      </c>
      <c r="L34" s="52">
        <v>15.84</v>
      </c>
      <c r="M34" s="52">
        <v>15.98</v>
      </c>
      <c r="N34" s="52">
        <v>16.095</v>
      </c>
      <c r="O34" s="77">
        <v>16.145</v>
      </c>
      <c r="P34" s="77">
        <v>16.065</v>
      </c>
      <c r="Q34" s="77">
        <v>16.09</v>
      </c>
      <c r="R34" s="77">
        <v>16.43</v>
      </c>
      <c r="S34" s="77">
        <v>16.32</v>
      </c>
      <c r="T34" s="77">
        <v>16.19</v>
      </c>
      <c r="U34" s="77">
        <v>16.215</v>
      </c>
      <c r="V34" s="77">
        <v>16.405</v>
      </c>
      <c r="W34" s="77">
        <v>16.15</v>
      </c>
      <c r="X34" s="77">
        <v>15.92</v>
      </c>
      <c r="Y34" s="77">
        <v>16.055</v>
      </c>
      <c r="Z34" s="77">
        <v>16.08</v>
      </c>
      <c r="AA34" s="16">
        <v>0.00800248954259845</v>
      </c>
      <c r="AB34" s="49">
        <f t="shared" si="3"/>
        <v>80024.8954259845</v>
      </c>
      <c r="AC34" s="50">
        <f t="shared" si="1"/>
        <v>4881</v>
      </c>
      <c r="AD34" s="77">
        <v>16.28</v>
      </c>
      <c r="AE34" s="77">
        <v>16.395</v>
      </c>
      <c r="AF34" s="77">
        <v>16.92</v>
      </c>
      <c r="AG34" s="77">
        <v>17.045</v>
      </c>
      <c r="AH34" s="77">
        <v>17</v>
      </c>
      <c r="AI34" s="77">
        <v>17.03</v>
      </c>
      <c r="AJ34" s="77">
        <v>17.135</v>
      </c>
      <c r="AK34" s="77">
        <v>17.11</v>
      </c>
      <c r="AL34" s="77">
        <v>16.79</v>
      </c>
      <c r="AM34" s="77">
        <v>16.95</v>
      </c>
      <c r="AN34" s="77">
        <v>17.1</v>
      </c>
      <c r="AO34" s="77">
        <v>16.97</v>
      </c>
      <c r="AP34" s="77">
        <v>17.055</v>
      </c>
      <c r="AQ34" s="77">
        <v>16.55</v>
      </c>
      <c r="AR34" s="77">
        <v>15.65</v>
      </c>
      <c r="AS34" s="77">
        <v>15.56</v>
      </c>
      <c r="AT34" s="77">
        <v>15.69</v>
      </c>
      <c r="AU34" s="77">
        <v>15.63</v>
      </c>
      <c r="AV34" s="77">
        <v>15.62</v>
      </c>
      <c r="AW34" s="77">
        <v>15.405</v>
      </c>
      <c r="AX34" s="77">
        <v>15.515</v>
      </c>
      <c r="AY34" s="77">
        <v>15.88</v>
      </c>
      <c r="AZ34" s="77">
        <v>15.69</v>
      </c>
      <c r="BA34" s="77">
        <v>15.94</v>
      </c>
      <c r="BB34" s="77">
        <v>16.065</v>
      </c>
      <c r="BC34" s="77">
        <v>16.3</v>
      </c>
      <c r="BD34" s="77">
        <v>16.49</v>
      </c>
      <c r="BE34" s="77">
        <v>16.455</v>
      </c>
      <c r="BF34" s="77">
        <v>16.745</v>
      </c>
      <c r="BG34" s="77">
        <v>16.45</v>
      </c>
      <c r="BH34" s="77">
        <v>16.27</v>
      </c>
      <c r="BI34" s="77">
        <v>16.3</v>
      </c>
      <c r="BJ34" s="77">
        <v>16.53</v>
      </c>
      <c r="BK34" s="77">
        <v>16.61</v>
      </c>
      <c r="BL34" s="77">
        <v>16.765</v>
      </c>
      <c r="BM34" s="77">
        <v>16.615</v>
      </c>
      <c r="BN34" s="77">
        <v>16.48</v>
      </c>
      <c r="BO34" s="77">
        <v>16.895</v>
      </c>
      <c r="BP34" s="77">
        <v>16.94</v>
      </c>
      <c r="BQ34" s="77">
        <v>16.72</v>
      </c>
      <c r="BR34" s="77">
        <v>17.02</v>
      </c>
      <c r="BS34" s="77">
        <v>16.95</v>
      </c>
      <c r="BT34" s="77">
        <v>16.915</v>
      </c>
      <c r="BU34" s="77">
        <v>16.335</v>
      </c>
      <c r="BV34" s="77">
        <v>16.3</v>
      </c>
      <c r="BW34" s="77">
        <v>16.48</v>
      </c>
      <c r="BX34" s="77">
        <v>16.63</v>
      </c>
      <c r="BY34" s="77">
        <v>16.53</v>
      </c>
      <c r="BZ34" s="77">
        <v>16.48</v>
      </c>
      <c r="CA34" s="77">
        <v>16.59</v>
      </c>
      <c r="CB34" s="77">
        <v>16.83</v>
      </c>
      <c r="CC34" s="77">
        <v>16.905</v>
      </c>
      <c r="CD34" s="77">
        <v>16.49</v>
      </c>
      <c r="CE34" s="77">
        <v>16.355</v>
      </c>
      <c r="CF34" s="77">
        <v>16.31</v>
      </c>
      <c r="CG34" s="77">
        <v>16.35</v>
      </c>
      <c r="CH34" s="77">
        <v>16.39</v>
      </c>
      <c r="CI34" s="77">
        <v>16.335</v>
      </c>
      <c r="CJ34" s="77">
        <v>16.325</v>
      </c>
      <c r="CK34" s="77">
        <v>16.255</v>
      </c>
    </row>
    <row r="35" spans="1:89">
      <c r="A35" s="14" t="s">
        <v>78</v>
      </c>
      <c r="B35" s="15" t="s">
        <v>79</v>
      </c>
      <c r="C35" s="16">
        <v>0.006</v>
      </c>
      <c r="D35" s="16">
        <v>0.0164</v>
      </c>
      <c r="E35" s="49">
        <f t="shared" si="2"/>
        <v>164000</v>
      </c>
      <c r="F35" s="50">
        <f t="shared" si="0"/>
        <v>5878</v>
      </c>
      <c r="G35" s="51">
        <v>27.9</v>
      </c>
      <c r="H35" s="52">
        <v>28.18</v>
      </c>
      <c r="I35" s="52">
        <v>28.04</v>
      </c>
      <c r="J35" s="52">
        <v>27.94</v>
      </c>
      <c r="K35" s="52">
        <v>27.82</v>
      </c>
      <c r="L35" s="52">
        <v>27.88</v>
      </c>
      <c r="M35" s="52">
        <v>27.76</v>
      </c>
      <c r="N35" s="52">
        <v>27.94</v>
      </c>
      <c r="O35" s="77">
        <v>27.9</v>
      </c>
      <c r="P35" s="77">
        <v>27.74</v>
      </c>
      <c r="Q35" s="77">
        <v>27.76</v>
      </c>
      <c r="R35" s="77">
        <v>28.12</v>
      </c>
      <c r="S35" s="77">
        <v>27.66</v>
      </c>
      <c r="T35" s="77">
        <v>27.3</v>
      </c>
      <c r="U35" s="77">
        <v>27.12</v>
      </c>
      <c r="V35" s="77">
        <v>27</v>
      </c>
      <c r="W35" s="77">
        <v>27.04</v>
      </c>
      <c r="X35" s="77">
        <v>26.44</v>
      </c>
      <c r="Y35" s="77">
        <v>26.68</v>
      </c>
      <c r="Z35" s="77">
        <v>26.84</v>
      </c>
      <c r="AA35" s="16">
        <v>0.00895874584584452</v>
      </c>
      <c r="AB35" s="49">
        <f t="shared" si="3"/>
        <v>89587.4584584452</v>
      </c>
      <c r="AC35" s="50">
        <f t="shared" si="1"/>
        <v>3325</v>
      </c>
      <c r="AD35" s="77">
        <v>26.62</v>
      </c>
      <c r="AE35" s="77">
        <v>26.94</v>
      </c>
      <c r="AF35" s="77">
        <v>26.66</v>
      </c>
      <c r="AG35" s="77">
        <v>26.56</v>
      </c>
      <c r="AH35" s="77">
        <v>26.64</v>
      </c>
      <c r="AI35" s="77">
        <v>26.76</v>
      </c>
      <c r="AJ35" s="77">
        <v>26.84</v>
      </c>
      <c r="AK35" s="77">
        <v>26.82</v>
      </c>
      <c r="AL35" s="77">
        <v>26.68</v>
      </c>
      <c r="AM35" s="77">
        <v>26.96</v>
      </c>
      <c r="AN35" s="77">
        <v>27.48</v>
      </c>
      <c r="AO35" s="77">
        <v>27.02</v>
      </c>
      <c r="AP35" s="77">
        <v>27.22</v>
      </c>
      <c r="AQ35" s="77">
        <v>26.56</v>
      </c>
      <c r="AR35" s="77">
        <v>26.14</v>
      </c>
      <c r="AS35" s="77">
        <v>26.06</v>
      </c>
      <c r="AT35" s="77">
        <v>25.92</v>
      </c>
      <c r="AU35" s="77">
        <v>25.76</v>
      </c>
      <c r="AV35" s="77">
        <v>25.68</v>
      </c>
      <c r="AW35" s="77">
        <v>25.58</v>
      </c>
      <c r="AX35" s="77">
        <v>25.78</v>
      </c>
      <c r="AY35" s="77">
        <v>26.08</v>
      </c>
      <c r="AZ35" s="77">
        <v>26.4</v>
      </c>
      <c r="BA35" s="77">
        <v>26.62</v>
      </c>
      <c r="BB35" s="77">
        <v>26.36</v>
      </c>
      <c r="BC35" s="77">
        <v>26.48</v>
      </c>
      <c r="BD35" s="77">
        <v>26.52</v>
      </c>
      <c r="BE35" s="77">
        <v>26.84</v>
      </c>
      <c r="BF35" s="77">
        <v>26.36</v>
      </c>
      <c r="BG35" s="77">
        <v>26</v>
      </c>
      <c r="BH35" s="77">
        <v>25.78</v>
      </c>
      <c r="BI35" s="77">
        <v>25.8</v>
      </c>
      <c r="BJ35" s="77">
        <v>25.82</v>
      </c>
      <c r="BK35" s="77">
        <v>25.86</v>
      </c>
      <c r="BL35" s="77">
        <v>25.78</v>
      </c>
      <c r="BM35" s="77">
        <v>25.74</v>
      </c>
      <c r="BN35" s="77">
        <v>25.78</v>
      </c>
      <c r="BO35" s="77">
        <v>25.88</v>
      </c>
      <c r="BP35" s="77">
        <v>26.32</v>
      </c>
      <c r="BQ35" s="77">
        <v>26.64</v>
      </c>
      <c r="BR35" s="77">
        <v>26.86</v>
      </c>
      <c r="BS35" s="77">
        <v>27.04</v>
      </c>
      <c r="BT35" s="77">
        <v>27.3</v>
      </c>
      <c r="BU35" s="77">
        <v>27.04</v>
      </c>
      <c r="BV35" s="77">
        <v>27.06</v>
      </c>
      <c r="BW35" s="77">
        <v>27.3</v>
      </c>
      <c r="BX35" s="77">
        <v>27.32</v>
      </c>
      <c r="BY35" s="77">
        <v>27.2</v>
      </c>
      <c r="BZ35" s="77">
        <v>27.14</v>
      </c>
      <c r="CA35" s="77">
        <v>26.7</v>
      </c>
      <c r="CB35" s="77">
        <v>27.18</v>
      </c>
      <c r="CC35" s="77">
        <v>27.36</v>
      </c>
      <c r="CD35" s="77">
        <v>27.32</v>
      </c>
      <c r="CE35" s="77">
        <v>27.42</v>
      </c>
      <c r="CF35" s="77">
        <v>27.78</v>
      </c>
      <c r="CG35" s="77">
        <v>27.96</v>
      </c>
      <c r="CH35" s="77">
        <v>28.6</v>
      </c>
      <c r="CI35" s="77">
        <v>28.72</v>
      </c>
      <c r="CJ35" s="77">
        <v>28.72</v>
      </c>
      <c r="CK35" s="77">
        <v>28.76</v>
      </c>
    </row>
    <row r="36" spans="1:89">
      <c r="A36" s="14" t="s">
        <v>80</v>
      </c>
      <c r="B36" s="15" t="s">
        <v>81</v>
      </c>
      <c r="C36" s="16">
        <v>0.0058</v>
      </c>
      <c r="D36" s="16">
        <v>0.0207</v>
      </c>
      <c r="E36" s="49">
        <f t="shared" si="2"/>
        <v>207000</v>
      </c>
      <c r="F36" s="50">
        <f t="shared" si="0"/>
        <v>4353</v>
      </c>
      <c r="G36" s="51">
        <v>47.55</v>
      </c>
      <c r="H36" s="52">
        <v>47.45</v>
      </c>
      <c r="I36" s="52">
        <v>47.36</v>
      </c>
      <c r="J36" s="52">
        <v>47.93</v>
      </c>
      <c r="K36" s="52">
        <v>47.69</v>
      </c>
      <c r="L36" s="52">
        <v>47.18</v>
      </c>
      <c r="M36" s="52">
        <v>47.61</v>
      </c>
      <c r="N36" s="52">
        <v>48.22</v>
      </c>
      <c r="O36" s="77">
        <v>48.24</v>
      </c>
      <c r="P36" s="77">
        <v>48.53</v>
      </c>
      <c r="Q36" s="77">
        <v>49.3</v>
      </c>
      <c r="R36" s="77">
        <v>49.23</v>
      </c>
      <c r="S36" s="77">
        <v>49.73</v>
      </c>
      <c r="T36" s="77">
        <v>49.47</v>
      </c>
      <c r="U36" s="77">
        <v>49.18</v>
      </c>
      <c r="V36" s="77">
        <v>49.4</v>
      </c>
      <c r="W36" s="77">
        <v>44.66</v>
      </c>
      <c r="X36" s="77">
        <v>42.28</v>
      </c>
      <c r="Y36" s="77">
        <v>42.57</v>
      </c>
      <c r="Z36" s="77">
        <v>41.92</v>
      </c>
      <c r="AA36" s="16">
        <v>0.00712985845985268</v>
      </c>
      <c r="AB36" s="49">
        <f t="shared" si="3"/>
        <v>71298.5845985268</v>
      </c>
      <c r="AC36" s="50">
        <f t="shared" si="1"/>
        <v>1584</v>
      </c>
      <c r="AD36" s="77">
        <v>42.71</v>
      </c>
      <c r="AE36" s="77">
        <v>45</v>
      </c>
      <c r="AF36" s="77">
        <v>45.34</v>
      </c>
      <c r="AG36" s="77">
        <v>44</v>
      </c>
      <c r="AH36" s="77">
        <v>44.27</v>
      </c>
      <c r="AI36" s="77">
        <v>44.29</v>
      </c>
      <c r="AJ36" s="77">
        <v>44.42</v>
      </c>
      <c r="AK36" s="77">
        <v>44.69</v>
      </c>
      <c r="AL36" s="77">
        <v>44.8</v>
      </c>
      <c r="AM36" s="77">
        <v>45.19</v>
      </c>
      <c r="AN36" s="77">
        <v>44.45</v>
      </c>
      <c r="AO36" s="77">
        <v>44.35</v>
      </c>
      <c r="AP36" s="77">
        <v>44.76</v>
      </c>
      <c r="AQ36" s="77">
        <v>43.95</v>
      </c>
      <c r="AR36" s="77">
        <v>43.06</v>
      </c>
      <c r="AS36" s="77">
        <v>42.93</v>
      </c>
      <c r="AT36" s="77">
        <v>42.78</v>
      </c>
      <c r="AU36" s="77">
        <v>42.27</v>
      </c>
      <c r="AV36" s="77">
        <v>41.89</v>
      </c>
      <c r="AW36" s="77">
        <v>41.01</v>
      </c>
      <c r="AX36" s="77">
        <v>40.85</v>
      </c>
      <c r="AY36" s="77">
        <v>41.05</v>
      </c>
      <c r="AZ36" s="77">
        <v>40.91</v>
      </c>
      <c r="BA36" s="77">
        <v>41.34</v>
      </c>
      <c r="BB36" s="77">
        <v>41.59</v>
      </c>
      <c r="BC36" s="77">
        <v>40.59</v>
      </c>
      <c r="BD36" s="77">
        <v>40.96</v>
      </c>
      <c r="BE36" s="77">
        <v>41.21</v>
      </c>
      <c r="BF36" s="77">
        <v>41.37</v>
      </c>
      <c r="BG36" s="77">
        <v>40.9</v>
      </c>
      <c r="BH36" s="77">
        <v>41.04</v>
      </c>
      <c r="BI36" s="77">
        <v>41.34</v>
      </c>
      <c r="BJ36" s="77">
        <v>41.29</v>
      </c>
      <c r="BK36" s="77">
        <v>40.42</v>
      </c>
      <c r="BL36" s="77">
        <v>40.85</v>
      </c>
      <c r="BM36" s="77">
        <v>40.33</v>
      </c>
      <c r="BN36" s="77">
        <v>40.26</v>
      </c>
      <c r="BO36" s="77">
        <v>40.65</v>
      </c>
      <c r="BP36" s="77">
        <v>40.54</v>
      </c>
      <c r="BQ36" s="77">
        <v>40.3</v>
      </c>
      <c r="BR36" s="77">
        <v>40.3</v>
      </c>
      <c r="BS36" s="77">
        <v>40.82</v>
      </c>
      <c r="BT36" s="77">
        <v>41.57</v>
      </c>
      <c r="BU36" s="77">
        <v>41</v>
      </c>
      <c r="BV36" s="77">
        <v>40.56</v>
      </c>
      <c r="BW36" s="77">
        <v>41.08</v>
      </c>
      <c r="BX36" s="77">
        <v>41.09</v>
      </c>
      <c r="BY36" s="77">
        <v>40.44</v>
      </c>
      <c r="BZ36" s="77">
        <v>40.52</v>
      </c>
      <c r="CA36" s="77">
        <v>40.61</v>
      </c>
      <c r="CB36" s="77">
        <v>40.6</v>
      </c>
      <c r="CC36" s="77">
        <v>41.34</v>
      </c>
      <c r="CD36" s="77">
        <v>41.57</v>
      </c>
      <c r="CE36" s="77">
        <v>42.41</v>
      </c>
      <c r="CF36" s="77">
        <v>42.45</v>
      </c>
      <c r="CG36" s="77">
        <v>42.63</v>
      </c>
      <c r="CH36" s="77">
        <v>42.21</v>
      </c>
      <c r="CI36" s="77">
        <v>45.18</v>
      </c>
      <c r="CJ36" s="77">
        <v>45.66</v>
      </c>
      <c r="CK36" s="77">
        <v>45.32</v>
      </c>
    </row>
    <row r="37" spans="1:89">
      <c r="A37" s="14" t="s">
        <v>82</v>
      </c>
      <c r="B37" s="15" t="s">
        <v>83</v>
      </c>
      <c r="C37" s="16">
        <v>0.0058</v>
      </c>
      <c r="D37" s="16">
        <v>0.0104</v>
      </c>
      <c r="E37" s="49">
        <f t="shared" si="2"/>
        <v>104000</v>
      </c>
      <c r="F37" s="50">
        <f t="shared" si="0"/>
        <v>2525</v>
      </c>
      <c r="G37" s="51">
        <v>41.18</v>
      </c>
      <c r="H37" s="52">
        <v>41.86</v>
      </c>
      <c r="I37" s="52">
        <v>41.2</v>
      </c>
      <c r="J37" s="52">
        <v>40.84</v>
      </c>
      <c r="K37" s="52">
        <v>41.25</v>
      </c>
      <c r="L37" s="52">
        <v>33.63</v>
      </c>
      <c r="M37" s="52">
        <v>33.4</v>
      </c>
      <c r="N37" s="52">
        <v>33.62</v>
      </c>
      <c r="O37" s="77">
        <v>33.58</v>
      </c>
      <c r="P37" s="77">
        <v>33.06</v>
      </c>
      <c r="Q37" s="77">
        <v>33.95</v>
      </c>
      <c r="R37" s="77">
        <v>33.75</v>
      </c>
      <c r="S37" s="77">
        <v>34.42</v>
      </c>
      <c r="T37" s="77">
        <v>33.96</v>
      </c>
      <c r="U37" s="77">
        <v>34.22</v>
      </c>
      <c r="V37" s="77">
        <v>33.2</v>
      </c>
      <c r="W37" s="77">
        <v>32.71</v>
      </c>
      <c r="X37" s="77">
        <v>32.19</v>
      </c>
      <c r="Y37" s="77">
        <v>31.4</v>
      </c>
      <c r="Z37" s="77">
        <v>31.23</v>
      </c>
      <c r="AA37" s="16">
        <v>0.02890170752852</v>
      </c>
      <c r="AB37" s="49">
        <f t="shared" si="3"/>
        <v>289017.0752852</v>
      </c>
      <c r="AC37" s="50">
        <f t="shared" si="1"/>
        <v>9102</v>
      </c>
      <c r="AD37" s="77">
        <v>31.14</v>
      </c>
      <c r="AE37" s="77">
        <v>31.75</v>
      </c>
      <c r="AF37" s="77">
        <v>32.43</v>
      </c>
      <c r="AG37" s="77">
        <v>32.37</v>
      </c>
      <c r="AH37" s="77">
        <v>32.46</v>
      </c>
      <c r="AI37" s="77">
        <v>32.76</v>
      </c>
      <c r="AJ37" s="77">
        <v>32.63</v>
      </c>
      <c r="AK37" s="77">
        <v>33.11</v>
      </c>
      <c r="AL37" s="77">
        <v>32.65</v>
      </c>
      <c r="AM37" s="77">
        <v>33.69</v>
      </c>
      <c r="AN37" s="77">
        <v>33.57</v>
      </c>
      <c r="AO37" s="77">
        <v>33.09</v>
      </c>
      <c r="AP37" s="77">
        <v>33.56</v>
      </c>
      <c r="AQ37" s="77">
        <v>33.31</v>
      </c>
      <c r="AR37" s="77">
        <v>33.11</v>
      </c>
      <c r="AS37" s="77">
        <v>32.69</v>
      </c>
      <c r="AT37" s="77">
        <v>33.88</v>
      </c>
      <c r="AU37" s="77">
        <v>33.6</v>
      </c>
      <c r="AV37" s="77">
        <v>34.04</v>
      </c>
      <c r="AW37" s="77">
        <v>33.24</v>
      </c>
      <c r="AX37" s="77">
        <v>32.56</v>
      </c>
      <c r="AY37" s="77">
        <v>32.91</v>
      </c>
      <c r="AZ37" s="77">
        <v>33.01</v>
      </c>
      <c r="BA37" s="77">
        <v>32.98</v>
      </c>
      <c r="BB37" s="77">
        <v>34.15</v>
      </c>
      <c r="BC37" s="77">
        <v>34.09</v>
      </c>
      <c r="BD37" s="77">
        <v>34.55</v>
      </c>
      <c r="BE37" s="77">
        <v>34.37</v>
      </c>
      <c r="BF37" s="77">
        <v>34.76</v>
      </c>
      <c r="BG37" s="77">
        <v>34.97</v>
      </c>
      <c r="BH37" s="77">
        <v>35.15</v>
      </c>
      <c r="BI37" s="77">
        <v>35.26</v>
      </c>
      <c r="BJ37" s="77">
        <v>35.37</v>
      </c>
      <c r="BK37" s="77">
        <v>34.82</v>
      </c>
      <c r="BL37" s="77">
        <v>34.8</v>
      </c>
      <c r="BM37" s="77">
        <v>34.38</v>
      </c>
      <c r="BN37" s="77">
        <v>34.95</v>
      </c>
      <c r="BO37" s="77">
        <v>34.75</v>
      </c>
      <c r="BP37" s="77">
        <v>34.75</v>
      </c>
      <c r="BQ37" s="77">
        <v>34.8</v>
      </c>
      <c r="BR37" s="77">
        <v>35</v>
      </c>
      <c r="BS37" s="77">
        <v>35.76</v>
      </c>
      <c r="BT37" s="77">
        <v>35.78</v>
      </c>
      <c r="BU37" s="77">
        <v>35.2</v>
      </c>
      <c r="BV37" s="77">
        <v>36.16</v>
      </c>
      <c r="BW37" s="77">
        <v>35.5</v>
      </c>
      <c r="BX37" s="77">
        <v>35.15</v>
      </c>
      <c r="BY37" s="77">
        <v>34.33</v>
      </c>
      <c r="BZ37" s="77">
        <v>34.37</v>
      </c>
      <c r="CA37" s="77">
        <v>33.63</v>
      </c>
      <c r="CB37" s="77">
        <v>33.45</v>
      </c>
      <c r="CC37" s="77">
        <v>34</v>
      </c>
      <c r="CD37" s="77">
        <v>34.39</v>
      </c>
      <c r="CE37" s="77">
        <v>34.94</v>
      </c>
      <c r="CF37" s="77">
        <v>35.34</v>
      </c>
      <c r="CG37" s="77">
        <v>35.28</v>
      </c>
      <c r="CH37" s="77">
        <v>34.19</v>
      </c>
      <c r="CI37" s="77">
        <v>34.37</v>
      </c>
      <c r="CJ37" s="77">
        <v>33.61</v>
      </c>
      <c r="CK37" s="77">
        <v>34.2</v>
      </c>
    </row>
    <row r="38" spans="1:89">
      <c r="A38" s="14" t="s">
        <v>84</v>
      </c>
      <c r="B38" s="15" t="s">
        <v>85</v>
      </c>
      <c r="C38" s="16">
        <v>0.0057</v>
      </c>
      <c r="D38" s="16">
        <v>0.0067</v>
      </c>
      <c r="E38" s="49">
        <f t="shared" si="2"/>
        <v>67000</v>
      </c>
      <c r="F38" s="50">
        <f t="shared" si="0"/>
        <v>2343</v>
      </c>
      <c r="G38" s="51">
        <v>28.59</v>
      </c>
      <c r="H38" s="52">
        <v>29.62</v>
      </c>
      <c r="I38" s="52">
        <v>29.45</v>
      </c>
      <c r="J38" s="52">
        <v>29.1</v>
      </c>
      <c r="K38" s="52">
        <v>28.82</v>
      </c>
      <c r="L38" s="52">
        <v>28</v>
      </c>
      <c r="M38" s="52">
        <v>28.23</v>
      </c>
      <c r="N38" s="52">
        <v>27.98</v>
      </c>
      <c r="O38" s="77">
        <v>29.2</v>
      </c>
      <c r="P38" s="77">
        <v>29.05</v>
      </c>
      <c r="Q38" s="77">
        <v>29.13</v>
      </c>
      <c r="R38" s="77">
        <v>28.88</v>
      </c>
      <c r="S38" s="77">
        <v>28.63</v>
      </c>
      <c r="T38" s="77">
        <v>28.71</v>
      </c>
      <c r="U38" s="77">
        <v>28.35</v>
      </c>
      <c r="V38" s="77">
        <v>28.25</v>
      </c>
      <c r="W38" s="77">
        <v>27.52</v>
      </c>
      <c r="X38" s="77">
        <v>26.76</v>
      </c>
      <c r="Y38" s="77">
        <v>26.48</v>
      </c>
      <c r="Z38" s="77">
        <v>26.64</v>
      </c>
      <c r="AA38" s="16">
        <v>0.06495478510652</v>
      </c>
      <c r="AB38" s="49">
        <f t="shared" si="3"/>
        <v>649547.8510652</v>
      </c>
      <c r="AC38" s="50">
        <f t="shared" si="1"/>
        <v>23247</v>
      </c>
      <c r="AD38" s="77">
        <v>26.78</v>
      </c>
      <c r="AE38" s="77">
        <v>27.94</v>
      </c>
      <c r="AF38" s="77">
        <v>28.82</v>
      </c>
      <c r="AG38" s="77">
        <v>28.43</v>
      </c>
      <c r="AH38" s="77">
        <v>28.64</v>
      </c>
      <c r="AI38" s="77">
        <v>28.59</v>
      </c>
      <c r="AJ38" s="77">
        <v>28.98</v>
      </c>
      <c r="AK38" s="77">
        <v>29.1</v>
      </c>
      <c r="AL38" s="77">
        <v>29.16</v>
      </c>
      <c r="AM38" s="77">
        <v>29.89</v>
      </c>
      <c r="AN38" s="77">
        <v>29.26</v>
      </c>
      <c r="AO38" s="77">
        <v>28.53</v>
      </c>
      <c r="AP38" s="77">
        <v>29.16</v>
      </c>
      <c r="AQ38" s="77">
        <v>29.23</v>
      </c>
      <c r="AR38" s="77">
        <v>28.87</v>
      </c>
      <c r="AS38" s="77">
        <v>28.37</v>
      </c>
      <c r="AT38" s="77">
        <v>28.54</v>
      </c>
      <c r="AU38" s="77">
        <v>28.46</v>
      </c>
      <c r="AV38" s="77">
        <v>28.5</v>
      </c>
      <c r="AW38" s="77">
        <v>27.5</v>
      </c>
      <c r="AX38" s="77">
        <v>27.89</v>
      </c>
      <c r="AY38" s="77">
        <v>28.35</v>
      </c>
      <c r="AZ38" s="77">
        <v>28.86</v>
      </c>
      <c r="BA38" s="77">
        <v>29.12</v>
      </c>
      <c r="BB38" s="77">
        <v>28.91</v>
      </c>
      <c r="BC38" s="77">
        <v>29.54</v>
      </c>
      <c r="BD38" s="77">
        <v>29.7</v>
      </c>
      <c r="BE38" s="77">
        <v>29.59</v>
      </c>
      <c r="BF38" s="77">
        <v>29.58</v>
      </c>
      <c r="BG38" s="77">
        <v>29.4</v>
      </c>
      <c r="BH38" s="77">
        <v>29.15</v>
      </c>
      <c r="BI38" s="77">
        <v>29.62</v>
      </c>
      <c r="BJ38" s="77">
        <v>30.01</v>
      </c>
      <c r="BK38" s="77">
        <v>30.11</v>
      </c>
      <c r="BL38" s="77">
        <v>30.59</v>
      </c>
      <c r="BM38" s="77">
        <v>30.55</v>
      </c>
      <c r="BN38" s="77">
        <v>30.64</v>
      </c>
      <c r="BO38" s="77">
        <v>31.43</v>
      </c>
      <c r="BP38" s="77">
        <v>31.3</v>
      </c>
      <c r="BQ38" s="77">
        <v>30.58</v>
      </c>
      <c r="BR38" s="77">
        <v>32.2</v>
      </c>
      <c r="BS38" s="77">
        <v>32.3</v>
      </c>
      <c r="BT38" s="77">
        <v>33.05</v>
      </c>
      <c r="BU38" s="77">
        <v>33.45</v>
      </c>
      <c r="BV38" s="77">
        <v>33.13</v>
      </c>
      <c r="BW38" s="77">
        <v>35.3</v>
      </c>
      <c r="BX38" s="77">
        <v>34.32</v>
      </c>
      <c r="BY38" s="77">
        <v>32.32</v>
      </c>
      <c r="BZ38" s="77">
        <v>33.32</v>
      </c>
      <c r="CA38" s="77">
        <v>32.81</v>
      </c>
      <c r="CB38" s="77">
        <v>32.98</v>
      </c>
      <c r="CC38" s="77">
        <v>33.04</v>
      </c>
      <c r="CD38" s="77">
        <v>32.82</v>
      </c>
      <c r="CE38" s="77">
        <v>33.35</v>
      </c>
      <c r="CF38" s="77">
        <v>32.84</v>
      </c>
      <c r="CG38" s="77">
        <v>33.5</v>
      </c>
      <c r="CH38" s="77">
        <v>33.33</v>
      </c>
      <c r="CI38" s="77">
        <v>33.72</v>
      </c>
      <c r="CJ38" s="77">
        <v>33.99</v>
      </c>
      <c r="CK38" s="77">
        <v>34.16</v>
      </c>
    </row>
    <row r="39" spans="1:89">
      <c r="A39" s="14" t="s">
        <v>86</v>
      </c>
      <c r="B39" s="15" t="s">
        <v>87</v>
      </c>
      <c r="C39" s="16">
        <v>0.0052</v>
      </c>
      <c r="D39" s="16">
        <v>0.0177</v>
      </c>
      <c r="E39" s="49">
        <f t="shared" si="2"/>
        <v>177000</v>
      </c>
      <c r="F39" s="50">
        <f t="shared" si="0"/>
        <v>2197</v>
      </c>
      <c r="G39" s="51">
        <v>80.54</v>
      </c>
      <c r="H39" s="52">
        <v>80.5</v>
      </c>
      <c r="I39" s="52">
        <v>79.64</v>
      </c>
      <c r="J39" s="52">
        <v>80.46</v>
      </c>
      <c r="K39" s="52">
        <v>80.24</v>
      </c>
      <c r="L39" s="52">
        <v>79.56</v>
      </c>
      <c r="M39" s="52">
        <v>80.1</v>
      </c>
      <c r="N39" s="52">
        <v>80.84</v>
      </c>
      <c r="O39" s="77">
        <v>81.66</v>
      </c>
      <c r="P39" s="77">
        <v>81.88</v>
      </c>
      <c r="Q39" s="77">
        <v>82.36</v>
      </c>
      <c r="R39" s="77">
        <v>82.48</v>
      </c>
      <c r="S39" s="77">
        <v>82.44</v>
      </c>
      <c r="T39" s="77">
        <v>82.92</v>
      </c>
      <c r="U39" s="77">
        <v>83.42</v>
      </c>
      <c r="V39" s="77">
        <v>84.7</v>
      </c>
      <c r="W39" s="77">
        <v>85.24</v>
      </c>
      <c r="X39" s="77">
        <v>84.18</v>
      </c>
      <c r="Y39" s="77">
        <v>86</v>
      </c>
      <c r="Z39" s="77">
        <v>87.2</v>
      </c>
      <c r="AA39" s="16">
        <v>0.0037575788</v>
      </c>
      <c r="AB39" s="49">
        <f t="shared" si="3"/>
        <v>37575.788</v>
      </c>
      <c r="AC39" s="50">
        <f t="shared" si="1"/>
        <v>423</v>
      </c>
      <c r="AD39" s="77">
        <v>88.22</v>
      </c>
      <c r="AE39" s="77">
        <v>88.66</v>
      </c>
      <c r="AF39" s="77">
        <v>88.72</v>
      </c>
      <c r="AG39" s="77">
        <v>89.06</v>
      </c>
      <c r="AH39" s="77">
        <v>88.54</v>
      </c>
      <c r="AI39" s="77">
        <v>89.04</v>
      </c>
      <c r="AJ39" s="77">
        <v>88.72</v>
      </c>
      <c r="AK39" s="77">
        <v>90.1</v>
      </c>
      <c r="AL39" s="77">
        <v>91.06</v>
      </c>
      <c r="AM39" s="77">
        <v>90.86</v>
      </c>
      <c r="AN39" s="77">
        <v>91.32</v>
      </c>
      <c r="AO39" s="77">
        <v>90.7</v>
      </c>
      <c r="AP39" s="77">
        <v>91.7</v>
      </c>
      <c r="AQ39" s="77">
        <v>90.04</v>
      </c>
      <c r="AR39" s="77">
        <v>89.06</v>
      </c>
      <c r="AS39" s="77">
        <v>88.3</v>
      </c>
      <c r="AT39" s="77">
        <v>88.26</v>
      </c>
      <c r="AU39" s="77">
        <v>88.8</v>
      </c>
      <c r="AV39" s="77">
        <v>88.88</v>
      </c>
      <c r="AW39" s="77">
        <v>86.46</v>
      </c>
      <c r="AX39" s="77">
        <v>86.78</v>
      </c>
      <c r="AY39" s="77">
        <v>86.28</v>
      </c>
      <c r="AZ39" s="77">
        <v>87.58</v>
      </c>
      <c r="BA39" s="77">
        <v>87.6</v>
      </c>
      <c r="BB39" s="77">
        <v>87.3</v>
      </c>
      <c r="BC39" s="77">
        <v>87.42</v>
      </c>
      <c r="BD39" s="77">
        <v>88.34</v>
      </c>
      <c r="BE39" s="77">
        <v>89.34</v>
      </c>
      <c r="BF39" s="77">
        <v>90.18</v>
      </c>
      <c r="BG39" s="77">
        <v>89.16</v>
      </c>
      <c r="BH39" s="77">
        <v>88.48</v>
      </c>
      <c r="BI39" s="77">
        <v>87.9</v>
      </c>
      <c r="BJ39" s="77">
        <v>88.38</v>
      </c>
      <c r="BK39" s="77">
        <v>87.82</v>
      </c>
      <c r="BL39" s="77">
        <v>87.68</v>
      </c>
      <c r="BM39" s="77">
        <v>87.62</v>
      </c>
      <c r="BN39" s="77">
        <v>87.64</v>
      </c>
      <c r="BO39" s="77">
        <v>87.7</v>
      </c>
      <c r="BP39" s="77">
        <v>88.92</v>
      </c>
      <c r="BQ39" s="77">
        <v>89.44</v>
      </c>
      <c r="BR39" s="77">
        <v>89.18</v>
      </c>
      <c r="BS39" s="77">
        <v>88.9</v>
      </c>
      <c r="BT39" s="77">
        <v>88.9</v>
      </c>
      <c r="BU39" s="77">
        <v>88.42</v>
      </c>
      <c r="BV39" s="77">
        <v>87.14</v>
      </c>
      <c r="BW39" s="77">
        <v>87.28</v>
      </c>
      <c r="BX39" s="77">
        <v>87.38</v>
      </c>
      <c r="BY39" s="77">
        <v>88.06</v>
      </c>
      <c r="BZ39" s="77">
        <v>87.94</v>
      </c>
      <c r="CA39" s="77">
        <v>88.84</v>
      </c>
      <c r="CB39" s="77">
        <v>88.5</v>
      </c>
      <c r="CC39" s="77">
        <v>90.32</v>
      </c>
      <c r="CD39" s="77">
        <v>89.44</v>
      </c>
      <c r="CE39" s="77">
        <v>89.54</v>
      </c>
      <c r="CF39" s="77">
        <v>90.36</v>
      </c>
      <c r="CG39" s="77">
        <v>91.58</v>
      </c>
      <c r="CH39" s="77">
        <v>91.16</v>
      </c>
      <c r="CI39" s="77">
        <v>90.62</v>
      </c>
      <c r="CJ39" s="77">
        <v>90.04</v>
      </c>
      <c r="CK39" s="77">
        <v>90.88</v>
      </c>
    </row>
    <row r="40" spans="1:89">
      <c r="A40" s="14" t="s">
        <v>88</v>
      </c>
      <c r="B40" s="15" t="s">
        <v>89</v>
      </c>
      <c r="C40" s="16">
        <v>0.0047</v>
      </c>
      <c r="D40" s="16">
        <v>0.0042</v>
      </c>
      <c r="E40" s="49">
        <f t="shared" si="2"/>
        <v>42000</v>
      </c>
      <c r="F40" s="50">
        <f t="shared" si="0"/>
        <v>1534</v>
      </c>
      <c r="G40" s="51">
        <v>27.37</v>
      </c>
      <c r="H40" s="52">
        <v>27.08</v>
      </c>
      <c r="I40" s="52">
        <v>26.2</v>
      </c>
      <c r="J40" s="52">
        <v>26.1</v>
      </c>
      <c r="K40" s="52">
        <v>26.15</v>
      </c>
      <c r="L40" s="52">
        <v>25.59</v>
      </c>
      <c r="M40" s="52">
        <v>25.95</v>
      </c>
      <c r="N40" s="52">
        <v>26.24</v>
      </c>
      <c r="O40" s="77">
        <v>26.05</v>
      </c>
      <c r="P40" s="77">
        <v>26.41</v>
      </c>
      <c r="Q40" s="77">
        <v>26.77</v>
      </c>
      <c r="R40" s="77">
        <v>26.52</v>
      </c>
      <c r="S40" s="77">
        <v>27.2</v>
      </c>
      <c r="T40" s="77">
        <v>26.92</v>
      </c>
      <c r="U40" s="77">
        <v>25.97</v>
      </c>
      <c r="V40" s="77">
        <v>25.55</v>
      </c>
      <c r="W40" s="77">
        <v>25.12</v>
      </c>
      <c r="X40" s="77">
        <v>24.1</v>
      </c>
      <c r="Y40" s="77">
        <v>24.21</v>
      </c>
      <c r="Z40" s="77">
        <v>24.5</v>
      </c>
      <c r="AA40" s="16">
        <v>0.00843503380458625</v>
      </c>
      <c r="AB40" s="49">
        <f t="shared" si="3"/>
        <v>84350.3380458625</v>
      </c>
      <c r="AC40" s="50">
        <f t="shared" si="1"/>
        <v>3277</v>
      </c>
      <c r="AD40" s="77">
        <v>25.22</v>
      </c>
      <c r="AE40" s="77">
        <v>25.74</v>
      </c>
      <c r="AF40" s="77">
        <v>25.93</v>
      </c>
      <c r="AG40" s="77">
        <v>25.6</v>
      </c>
      <c r="AH40" s="77">
        <v>25.73</v>
      </c>
      <c r="AI40" s="77">
        <v>26.18</v>
      </c>
      <c r="AJ40" s="77">
        <v>26.04</v>
      </c>
      <c r="AK40" s="77">
        <v>26.22</v>
      </c>
      <c r="AL40" s="77">
        <v>26.17</v>
      </c>
      <c r="AM40" s="77">
        <v>26.25</v>
      </c>
      <c r="AN40" s="77">
        <v>26.33</v>
      </c>
      <c r="AO40" s="77">
        <v>26.22</v>
      </c>
      <c r="AP40" s="77">
        <v>26.73</v>
      </c>
      <c r="AQ40" s="77">
        <v>26.6</v>
      </c>
      <c r="AR40" s="77">
        <v>25.29</v>
      </c>
      <c r="AS40" s="77">
        <v>24.9</v>
      </c>
      <c r="AT40" s="77">
        <v>24.76</v>
      </c>
      <c r="AU40" s="77">
        <v>24.7</v>
      </c>
      <c r="AV40" s="77">
        <v>24.5</v>
      </c>
      <c r="AW40" s="77">
        <v>23.81</v>
      </c>
      <c r="AX40" s="77">
        <v>23.77</v>
      </c>
      <c r="AY40" s="77">
        <v>23.82</v>
      </c>
      <c r="AZ40" s="77">
        <v>23.81</v>
      </c>
      <c r="BA40" s="77">
        <v>22.94</v>
      </c>
      <c r="BB40" s="77">
        <v>22.77</v>
      </c>
      <c r="BC40" s="77">
        <v>22.2</v>
      </c>
      <c r="BD40" s="77">
        <v>22.3</v>
      </c>
      <c r="BE40" s="77">
        <v>20.87</v>
      </c>
      <c r="BF40" s="77">
        <v>19.95</v>
      </c>
      <c r="BG40" s="77">
        <v>20.08</v>
      </c>
      <c r="BH40" s="77">
        <v>20.35</v>
      </c>
      <c r="BI40" s="77">
        <v>20.3</v>
      </c>
      <c r="BJ40" s="77">
        <v>20.1</v>
      </c>
      <c r="BK40" s="77">
        <v>20.11</v>
      </c>
      <c r="BL40" s="77">
        <v>20.47</v>
      </c>
      <c r="BM40" s="77">
        <v>20.55</v>
      </c>
      <c r="BN40" s="77">
        <v>20.14</v>
      </c>
      <c r="BO40" s="77">
        <v>20.02</v>
      </c>
      <c r="BP40" s="77">
        <v>20.09</v>
      </c>
      <c r="BQ40" s="77">
        <v>20.2</v>
      </c>
      <c r="BR40" s="77">
        <v>20.43</v>
      </c>
      <c r="BS40" s="77">
        <v>20.7</v>
      </c>
      <c r="BT40" s="77">
        <v>21.47</v>
      </c>
      <c r="BU40" s="77">
        <v>21.19</v>
      </c>
      <c r="BV40" s="77">
        <v>20.97</v>
      </c>
      <c r="BW40" s="77">
        <v>21.01</v>
      </c>
      <c r="BX40" s="77">
        <v>21.06</v>
      </c>
      <c r="BY40" s="77">
        <v>20.71</v>
      </c>
      <c r="BZ40" s="77">
        <v>20.47</v>
      </c>
      <c r="CA40" s="77">
        <v>20.69</v>
      </c>
      <c r="CB40" s="77">
        <v>20.1</v>
      </c>
      <c r="CC40" s="77">
        <v>20.6</v>
      </c>
      <c r="CD40" s="77">
        <v>20.64</v>
      </c>
      <c r="CE40" s="77">
        <v>20.83</v>
      </c>
      <c r="CF40" s="77">
        <v>24.92</v>
      </c>
      <c r="CG40" s="77">
        <v>26.07</v>
      </c>
      <c r="CH40" s="77">
        <v>25.19</v>
      </c>
      <c r="CI40" s="77">
        <v>25.9</v>
      </c>
      <c r="CJ40" s="77">
        <v>25.4</v>
      </c>
      <c r="CK40" s="77">
        <v>26.22</v>
      </c>
    </row>
    <row r="41" spans="1:89">
      <c r="A41" s="14" t="s">
        <v>90</v>
      </c>
      <c r="B41" s="15" t="s">
        <v>91</v>
      </c>
      <c r="C41" s="16">
        <v>0.0045</v>
      </c>
      <c r="D41" s="16">
        <v>0</v>
      </c>
      <c r="E41" s="49">
        <f t="shared" si="2"/>
        <v>0</v>
      </c>
      <c r="F41" s="50">
        <f t="shared" si="0"/>
        <v>0</v>
      </c>
      <c r="G41" s="51">
        <v>12.47</v>
      </c>
      <c r="H41" s="52">
        <v>12.41</v>
      </c>
      <c r="I41" s="52">
        <v>12.285</v>
      </c>
      <c r="J41" s="52">
        <v>12.26</v>
      </c>
      <c r="K41" s="52">
        <v>12.195</v>
      </c>
      <c r="L41" s="52">
        <v>12.05</v>
      </c>
      <c r="M41" s="52">
        <v>12.085</v>
      </c>
      <c r="N41" s="52">
        <v>12.16</v>
      </c>
      <c r="O41" s="77">
        <v>12.125</v>
      </c>
      <c r="P41" s="77">
        <v>12.155</v>
      </c>
      <c r="Q41" s="77">
        <v>12.295</v>
      </c>
      <c r="R41" s="77">
        <v>12.285</v>
      </c>
      <c r="S41" s="77">
        <v>12.965</v>
      </c>
      <c r="T41" s="77">
        <v>12.69</v>
      </c>
      <c r="U41" s="77">
        <v>12.655</v>
      </c>
      <c r="V41" s="77">
        <v>12.58</v>
      </c>
      <c r="W41" s="77">
        <v>12.57</v>
      </c>
      <c r="X41" s="77">
        <v>12.35</v>
      </c>
      <c r="Y41" s="77">
        <v>12.3</v>
      </c>
      <c r="Z41" s="77">
        <v>12.355</v>
      </c>
      <c r="AA41" s="16">
        <v>0.00145985420865214</v>
      </c>
      <c r="AB41" s="49">
        <f t="shared" si="3"/>
        <v>14598.5420865214</v>
      </c>
      <c r="AC41" s="50">
        <f t="shared" si="1"/>
        <v>1168</v>
      </c>
      <c r="AD41" s="77">
        <v>12.43</v>
      </c>
      <c r="AE41" s="77">
        <v>12.49</v>
      </c>
      <c r="AF41" s="77">
        <v>12.65</v>
      </c>
      <c r="AG41" s="77">
        <v>12.705</v>
      </c>
      <c r="AH41" s="77">
        <v>12.76</v>
      </c>
      <c r="AI41" s="77">
        <v>12.725</v>
      </c>
      <c r="AJ41" s="77">
        <v>12.765</v>
      </c>
      <c r="AK41" s="77">
        <v>12.805</v>
      </c>
      <c r="AL41" s="77">
        <v>12.785</v>
      </c>
      <c r="AM41" s="77">
        <v>13</v>
      </c>
      <c r="AN41" s="77">
        <v>13.135</v>
      </c>
      <c r="AO41" s="77">
        <v>13.16</v>
      </c>
      <c r="AP41" s="77">
        <v>13.065</v>
      </c>
      <c r="AQ41" s="77">
        <v>12.925</v>
      </c>
      <c r="AR41" s="77">
        <v>12.665</v>
      </c>
      <c r="AS41" s="77">
        <v>12.36</v>
      </c>
      <c r="AT41" s="77">
        <v>12.41</v>
      </c>
      <c r="AU41" s="77">
        <v>12.365</v>
      </c>
      <c r="AV41" s="77">
        <v>12.235</v>
      </c>
      <c r="AW41" s="77">
        <v>12.18</v>
      </c>
      <c r="AX41" s="77">
        <v>12.22</v>
      </c>
      <c r="AY41" s="77">
        <v>12.365</v>
      </c>
      <c r="AZ41" s="77">
        <v>12.3</v>
      </c>
      <c r="BA41" s="77">
        <v>12.215</v>
      </c>
      <c r="BB41" s="77">
        <v>12.275</v>
      </c>
      <c r="BC41" s="77">
        <v>12.13</v>
      </c>
      <c r="BD41" s="77">
        <v>12.26</v>
      </c>
      <c r="BE41" s="77">
        <v>12.16</v>
      </c>
      <c r="BF41" s="77">
        <v>12.135</v>
      </c>
      <c r="BG41" s="77">
        <v>12.04</v>
      </c>
      <c r="BH41" s="77">
        <v>12.135</v>
      </c>
      <c r="BI41" s="77">
        <v>12.13</v>
      </c>
      <c r="BJ41" s="77">
        <v>12.17</v>
      </c>
      <c r="BK41" s="77">
        <v>11.95</v>
      </c>
      <c r="BL41" s="77">
        <v>12.23</v>
      </c>
      <c r="BM41" s="77">
        <v>12.5</v>
      </c>
      <c r="BN41" s="77">
        <v>12.56</v>
      </c>
      <c r="BO41" s="77">
        <v>12.74</v>
      </c>
      <c r="BP41" s="77">
        <v>12.8</v>
      </c>
      <c r="BQ41" s="77">
        <v>12.895</v>
      </c>
      <c r="BR41" s="77">
        <v>12.84</v>
      </c>
      <c r="BS41" s="77">
        <v>13.05</v>
      </c>
      <c r="BT41" s="77">
        <v>13.11</v>
      </c>
      <c r="BU41" s="77">
        <v>12.885</v>
      </c>
      <c r="BV41" s="77">
        <v>12.8</v>
      </c>
      <c r="BW41" s="77">
        <v>12.81</v>
      </c>
      <c r="BX41" s="77">
        <v>12.895</v>
      </c>
      <c r="BY41" s="77">
        <v>12.925</v>
      </c>
      <c r="BZ41" s="77">
        <v>12.96</v>
      </c>
      <c r="CA41" s="77">
        <v>13</v>
      </c>
      <c r="CB41" s="77">
        <v>13.165</v>
      </c>
      <c r="CC41" s="77">
        <v>13.32</v>
      </c>
      <c r="CD41" s="77">
        <v>13.355</v>
      </c>
      <c r="CE41" s="77">
        <v>13.4</v>
      </c>
      <c r="CF41" s="77">
        <v>13.4</v>
      </c>
      <c r="CG41" s="77">
        <v>13.475</v>
      </c>
      <c r="CH41" s="77">
        <v>12.945</v>
      </c>
      <c r="CI41" s="77">
        <v>12.97</v>
      </c>
      <c r="CJ41" s="77">
        <v>12.93</v>
      </c>
      <c r="CK41" s="77">
        <v>13.04</v>
      </c>
    </row>
    <row r="42" spans="1:89">
      <c r="A42" s="14" t="s">
        <v>92</v>
      </c>
      <c r="B42" s="15" t="s">
        <v>93</v>
      </c>
      <c r="C42" s="16">
        <v>0.0037</v>
      </c>
      <c r="D42" s="16">
        <v>0.0397</v>
      </c>
      <c r="E42" s="49">
        <f t="shared" si="2"/>
        <v>397000</v>
      </c>
      <c r="F42" s="50">
        <f t="shared" si="0"/>
        <v>6649</v>
      </c>
      <c r="G42" s="51">
        <v>59.7</v>
      </c>
      <c r="H42" s="52">
        <v>60.62</v>
      </c>
      <c r="I42" s="52">
        <v>60.6</v>
      </c>
      <c r="J42" s="52">
        <v>60.16</v>
      </c>
      <c r="K42" s="52">
        <v>60.28</v>
      </c>
      <c r="L42" s="52">
        <v>60.46</v>
      </c>
      <c r="M42" s="52">
        <v>60.64</v>
      </c>
      <c r="N42" s="52">
        <v>61.36</v>
      </c>
      <c r="O42" s="77">
        <v>61.58</v>
      </c>
      <c r="P42" s="77">
        <v>63.36</v>
      </c>
      <c r="Q42" s="77">
        <v>63.36</v>
      </c>
      <c r="R42" s="77">
        <v>65.9</v>
      </c>
      <c r="S42" s="77">
        <v>68.76</v>
      </c>
      <c r="T42" s="77">
        <v>65.42</v>
      </c>
      <c r="U42" s="77">
        <v>66.5</v>
      </c>
      <c r="V42" s="77">
        <v>66.08</v>
      </c>
      <c r="W42" s="77">
        <v>67.32</v>
      </c>
      <c r="X42" s="77">
        <v>65.92</v>
      </c>
      <c r="Y42" s="77">
        <v>66.54</v>
      </c>
      <c r="Z42" s="77">
        <v>66.6</v>
      </c>
      <c r="AA42" s="16">
        <v>0.00892148564565852</v>
      </c>
      <c r="AB42" s="49">
        <f t="shared" si="3"/>
        <v>89214.8564565852</v>
      </c>
      <c r="AC42" s="50">
        <f t="shared" si="1"/>
        <v>1357</v>
      </c>
      <c r="AD42" s="77">
        <v>64.6</v>
      </c>
      <c r="AE42" s="77">
        <v>65.7</v>
      </c>
      <c r="AF42" s="77">
        <v>66.46</v>
      </c>
      <c r="AG42" s="77">
        <v>66.26</v>
      </c>
      <c r="AH42" s="77">
        <v>66.78</v>
      </c>
      <c r="AI42" s="77">
        <v>66.8</v>
      </c>
      <c r="AJ42" s="77">
        <v>67.52</v>
      </c>
      <c r="AK42" s="77">
        <v>67.66</v>
      </c>
      <c r="AL42" s="77">
        <v>67.34</v>
      </c>
      <c r="AM42" s="77">
        <v>67.8</v>
      </c>
      <c r="AN42" s="77">
        <v>68.82</v>
      </c>
      <c r="AO42" s="77">
        <v>68</v>
      </c>
      <c r="AP42" s="77">
        <v>68.36</v>
      </c>
      <c r="AQ42" s="77">
        <v>66.74</v>
      </c>
      <c r="AR42" s="77">
        <v>65.54</v>
      </c>
      <c r="AS42" s="77">
        <v>65.16</v>
      </c>
      <c r="AT42" s="77">
        <v>64.84</v>
      </c>
      <c r="AU42" s="77">
        <v>64.82</v>
      </c>
      <c r="AV42" s="77">
        <v>64.98</v>
      </c>
      <c r="AW42" s="77">
        <v>61.4</v>
      </c>
      <c r="AX42" s="77">
        <v>62.86</v>
      </c>
      <c r="AY42" s="77">
        <v>62.78</v>
      </c>
      <c r="AZ42" s="77">
        <v>63.84</v>
      </c>
      <c r="BA42" s="77">
        <v>63.92</v>
      </c>
      <c r="BB42" s="77">
        <v>63.96</v>
      </c>
      <c r="BC42" s="77">
        <v>62.94</v>
      </c>
      <c r="BD42" s="77">
        <v>64</v>
      </c>
      <c r="BE42" s="77">
        <v>63.82</v>
      </c>
      <c r="BF42" s="77">
        <v>63.08</v>
      </c>
      <c r="BG42" s="77">
        <v>62.64</v>
      </c>
      <c r="BH42" s="77">
        <v>62.78</v>
      </c>
      <c r="BI42" s="77">
        <v>62.58</v>
      </c>
      <c r="BJ42" s="77">
        <v>62.56</v>
      </c>
      <c r="BK42" s="77">
        <v>62.68</v>
      </c>
      <c r="BL42" s="77">
        <v>62.44</v>
      </c>
      <c r="BM42" s="77">
        <v>61.9</v>
      </c>
      <c r="BN42" s="77">
        <v>61.02</v>
      </c>
      <c r="BO42" s="77">
        <v>60.96</v>
      </c>
      <c r="BP42" s="77">
        <v>60.8</v>
      </c>
      <c r="BQ42" s="77">
        <v>61.78</v>
      </c>
      <c r="BR42" s="77">
        <v>63.06</v>
      </c>
      <c r="BS42" s="77">
        <v>62.84</v>
      </c>
      <c r="BT42" s="77">
        <v>62.9</v>
      </c>
      <c r="BU42" s="77">
        <v>62.14</v>
      </c>
      <c r="BV42" s="77">
        <v>62.26</v>
      </c>
      <c r="BW42" s="77">
        <v>62.3</v>
      </c>
      <c r="BX42" s="77">
        <v>62.9</v>
      </c>
      <c r="BY42" s="77">
        <v>61.92</v>
      </c>
      <c r="BZ42" s="77">
        <v>61.74</v>
      </c>
      <c r="CA42" s="77">
        <v>62.02</v>
      </c>
      <c r="CB42" s="77">
        <v>61.84</v>
      </c>
      <c r="CC42" s="77">
        <v>63.48</v>
      </c>
      <c r="CD42" s="77">
        <v>62.52</v>
      </c>
      <c r="CE42" s="77">
        <v>63.9</v>
      </c>
      <c r="CF42" s="77">
        <v>62.5</v>
      </c>
      <c r="CG42" s="77">
        <v>63.08</v>
      </c>
      <c r="CH42" s="77">
        <v>62.64</v>
      </c>
      <c r="CI42" s="77">
        <v>62.92</v>
      </c>
      <c r="CJ42" s="77">
        <v>61.58</v>
      </c>
      <c r="CK42" s="77">
        <v>61</v>
      </c>
    </row>
    <row r="43" spans="1:89">
      <c r="A43" s="14" t="s">
        <v>94</v>
      </c>
      <c r="B43" s="15" t="s">
        <v>95</v>
      </c>
      <c r="C43" s="16">
        <v>0.0032</v>
      </c>
      <c r="D43" s="16">
        <v>0.0165</v>
      </c>
      <c r="E43" s="49">
        <f t="shared" si="2"/>
        <v>165000</v>
      </c>
      <c r="F43" s="50">
        <f t="shared" si="0"/>
        <v>4193</v>
      </c>
      <c r="G43" s="51">
        <v>39.35</v>
      </c>
      <c r="H43" s="52">
        <v>38.6</v>
      </c>
      <c r="I43" s="52">
        <v>38.51</v>
      </c>
      <c r="J43" s="52">
        <v>39.06</v>
      </c>
      <c r="K43" s="52">
        <v>38.64</v>
      </c>
      <c r="L43" s="52">
        <v>38.16</v>
      </c>
      <c r="M43" s="52">
        <v>38.68</v>
      </c>
      <c r="N43" s="52">
        <v>38.84</v>
      </c>
      <c r="O43" s="77">
        <v>38.6</v>
      </c>
      <c r="P43" s="77">
        <v>38.44</v>
      </c>
      <c r="Q43" s="77">
        <v>38.63</v>
      </c>
      <c r="R43" s="77">
        <v>38.45</v>
      </c>
      <c r="S43" s="77">
        <v>38.78</v>
      </c>
      <c r="T43" s="77">
        <v>38.2</v>
      </c>
      <c r="U43" s="77">
        <v>39.01</v>
      </c>
      <c r="V43" s="77">
        <v>38.98</v>
      </c>
      <c r="W43" s="77">
        <v>36.15</v>
      </c>
      <c r="X43" s="77">
        <v>36.2</v>
      </c>
      <c r="Y43" s="77">
        <v>36.57</v>
      </c>
      <c r="Z43" s="77">
        <v>36.66</v>
      </c>
      <c r="AA43" s="16">
        <v>0.00148954854865478</v>
      </c>
      <c r="AB43" s="49">
        <f t="shared" si="3"/>
        <v>14895.4854865478</v>
      </c>
      <c r="AC43" s="50">
        <f t="shared" si="1"/>
        <v>398</v>
      </c>
      <c r="AD43" s="77">
        <v>36.92</v>
      </c>
      <c r="AE43" s="77">
        <v>37.36</v>
      </c>
      <c r="AF43" s="77">
        <v>37.85</v>
      </c>
      <c r="AG43" s="77">
        <v>38.34</v>
      </c>
      <c r="AH43" s="77">
        <v>38.34</v>
      </c>
      <c r="AI43" s="77">
        <v>38.55</v>
      </c>
      <c r="AJ43" s="77">
        <v>39.04</v>
      </c>
      <c r="AK43" s="77">
        <v>39.28</v>
      </c>
      <c r="AL43" s="77">
        <v>38.92</v>
      </c>
      <c r="AM43" s="77">
        <v>39.16</v>
      </c>
      <c r="AN43" s="77">
        <v>38.85</v>
      </c>
      <c r="AO43" s="77">
        <v>38.64</v>
      </c>
      <c r="AP43" s="77">
        <v>38.71</v>
      </c>
      <c r="AQ43" s="77">
        <v>36.97</v>
      </c>
      <c r="AR43" s="77">
        <v>36.4</v>
      </c>
      <c r="AS43" s="77">
        <v>36.68</v>
      </c>
      <c r="AT43" s="77">
        <v>36.73</v>
      </c>
      <c r="AU43" s="77">
        <v>36.64</v>
      </c>
      <c r="AV43" s="77">
        <v>36.14</v>
      </c>
      <c r="AW43" s="77">
        <v>35.63</v>
      </c>
      <c r="AX43" s="77">
        <v>35.64</v>
      </c>
      <c r="AY43" s="77">
        <v>36.22</v>
      </c>
      <c r="AZ43" s="77">
        <v>36.03</v>
      </c>
      <c r="BA43" s="77">
        <v>36.44</v>
      </c>
      <c r="BB43" s="77">
        <v>36.85</v>
      </c>
      <c r="BC43" s="77">
        <v>37.46</v>
      </c>
      <c r="BD43" s="77">
        <v>37.74</v>
      </c>
      <c r="BE43" s="77">
        <v>37.79</v>
      </c>
      <c r="BF43" s="77">
        <v>38.27</v>
      </c>
      <c r="BG43" s="77">
        <v>37.38</v>
      </c>
      <c r="BH43" s="77">
        <v>37.11</v>
      </c>
      <c r="BI43" s="77">
        <v>37.18</v>
      </c>
      <c r="BJ43" s="77">
        <v>37.37</v>
      </c>
      <c r="BK43" s="77">
        <v>37.32</v>
      </c>
      <c r="BL43" s="77">
        <v>37.11</v>
      </c>
      <c r="BM43" s="77">
        <v>37.3</v>
      </c>
      <c r="BN43" s="77">
        <v>37.21</v>
      </c>
      <c r="BO43" s="77">
        <v>38.17</v>
      </c>
      <c r="BP43" s="77">
        <v>38.32</v>
      </c>
      <c r="BQ43" s="77">
        <v>38.32</v>
      </c>
      <c r="BR43" s="77">
        <v>38.36</v>
      </c>
      <c r="BS43" s="77">
        <v>39.07</v>
      </c>
      <c r="BT43" s="77">
        <v>38.41</v>
      </c>
      <c r="BU43" s="77">
        <v>37.35</v>
      </c>
      <c r="BV43" s="77">
        <v>37.15</v>
      </c>
      <c r="BW43" s="77">
        <v>37.74</v>
      </c>
      <c r="BX43" s="77">
        <v>38.44</v>
      </c>
      <c r="BY43" s="77">
        <v>38.07</v>
      </c>
      <c r="BZ43" s="77">
        <v>38.18</v>
      </c>
      <c r="CA43" s="77">
        <v>38.72</v>
      </c>
      <c r="CB43" s="77">
        <v>41.58</v>
      </c>
      <c r="CC43" s="77">
        <v>41.46</v>
      </c>
      <c r="CD43" s="77">
        <v>41.27</v>
      </c>
      <c r="CE43" s="77">
        <v>41.16</v>
      </c>
      <c r="CF43" s="77">
        <v>40.77</v>
      </c>
      <c r="CG43" s="77">
        <v>40.85</v>
      </c>
      <c r="CH43" s="77">
        <v>41.47</v>
      </c>
      <c r="CI43" s="77">
        <v>41.11</v>
      </c>
      <c r="CJ43" s="77">
        <v>40.73</v>
      </c>
      <c r="CK43" s="77">
        <v>40.37</v>
      </c>
    </row>
    <row r="44" spans="1:89">
      <c r="A44" s="14" t="s">
        <v>96</v>
      </c>
      <c r="B44" s="15" t="s">
        <v>97</v>
      </c>
      <c r="C44" s="16">
        <v>0.0029</v>
      </c>
      <c r="D44" s="16">
        <v>0.0347</v>
      </c>
      <c r="E44" s="49">
        <f t="shared" si="2"/>
        <v>347000</v>
      </c>
      <c r="F44" s="50">
        <f t="shared" si="0"/>
        <v>3909</v>
      </c>
      <c r="G44" s="51">
        <v>88.76</v>
      </c>
      <c r="H44" s="52">
        <v>89.32</v>
      </c>
      <c r="I44" s="52">
        <v>86.72</v>
      </c>
      <c r="J44" s="52">
        <v>84.72</v>
      </c>
      <c r="K44" s="52">
        <v>86.08</v>
      </c>
      <c r="L44" s="52">
        <v>85.56</v>
      </c>
      <c r="M44" s="52">
        <v>86.48</v>
      </c>
      <c r="N44" s="52">
        <v>86.22</v>
      </c>
      <c r="O44" s="77">
        <v>84.62</v>
      </c>
      <c r="P44" s="77">
        <v>84.92</v>
      </c>
      <c r="Q44" s="77">
        <v>88.12</v>
      </c>
      <c r="R44" s="77">
        <v>87.92</v>
      </c>
      <c r="S44" s="77">
        <v>89.42</v>
      </c>
      <c r="T44" s="77">
        <v>88.22</v>
      </c>
      <c r="U44" s="77">
        <v>87.98</v>
      </c>
      <c r="V44" s="77">
        <v>85.58</v>
      </c>
      <c r="W44" s="77">
        <v>85.72</v>
      </c>
      <c r="X44" s="77">
        <v>68.02</v>
      </c>
      <c r="Y44" s="77">
        <v>65.44</v>
      </c>
      <c r="Z44" s="77">
        <v>68.4</v>
      </c>
      <c r="AA44" s="19">
        <v>0.0023458578565965</v>
      </c>
      <c r="AB44" s="49">
        <f t="shared" si="3"/>
        <v>23458.578565965</v>
      </c>
      <c r="AC44" s="50">
        <f t="shared" si="1"/>
        <v>332</v>
      </c>
      <c r="AD44" s="77">
        <v>68</v>
      </c>
      <c r="AE44" s="77">
        <v>70.46</v>
      </c>
      <c r="AF44" s="77">
        <v>70.32</v>
      </c>
      <c r="AG44" s="77">
        <v>68.98</v>
      </c>
      <c r="AH44" s="77">
        <v>69.38</v>
      </c>
      <c r="AI44" s="77">
        <v>69.18</v>
      </c>
      <c r="AJ44" s="77">
        <v>69.68</v>
      </c>
      <c r="AK44" s="77">
        <v>72.48</v>
      </c>
      <c r="AL44" s="77">
        <v>72.6</v>
      </c>
      <c r="AM44" s="77">
        <v>73.4</v>
      </c>
      <c r="AN44" s="77">
        <v>73.3</v>
      </c>
      <c r="AO44" s="77">
        <v>72.44</v>
      </c>
      <c r="AP44" s="77">
        <v>72.24</v>
      </c>
      <c r="AQ44" s="77">
        <v>72.26</v>
      </c>
      <c r="AR44" s="77">
        <v>68.9</v>
      </c>
      <c r="AS44" s="77">
        <v>68.88</v>
      </c>
      <c r="AT44" s="77">
        <v>67.28</v>
      </c>
      <c r="AU44" s="77">
        <v>65.92</v>
      </c>
      <c r="AV44" s="77">
        <v>67.18</v>
      </c>
      <c r="AW44" s="77">
        <v>64.8</v>
      </c>
      <c r="AX44" s="77">
        <v>64.02</v>
      </c>
      <c r="AY44" s="77">
        <v>66</v>
      </c>
      <c r="AZ44" s="77">
        <v>65.78</v>
      </c>
      <c r="BA44" s="77">
        <v>65.3</v>
      </c>
      <c r="BB44" s="77">
        <v>64.7</v>
      </c>
      <c r="BC44" s="77">
        <v>63.12</v>
      </c>
      <c r="BD44" s="77">
        <v>63.62</v>
      </c>
      <c r="BE44" s="77">
        <v>63.06</v>
      </c>
      <c r="BF44" s="77">
        <v>62.98</v>
      </c>
      <c r="BG44" s="77">
        <v>63.16</v>
      </c>
      <c r="BH44" s="77">
        <v>64.24</v>
      </c>
      <c r="BI44" s="77">
        <v>64.88</v>
      </c>
      <c r="BJ44" s="77">
        <v>65.5</v>
      </c>
      <c r="BK44" s="77">
        <v>62.76</v>
      </c>
      <c r="BL44" s="77">
        <v>64.66</v>
      </c>
      <c r="BM44" s="77">
        <v>63.96</v>
      </c>
      <c r="BN44" s="77">
        <v>63.96</v>
      </c>
      <c r="BO44" s="77">
        <v>62.32</v>
      </c>
      <c r="BP44" s="77">
        <v>62.8</v>
      </c>
      <c r="BQ44" s="77">
        <v>63.34</v>
      </c>
      <c r="BR44" s="77">
        <v>63.28</v>
      </c>
      <c r="BS44" s="77">
        <v>63.6</v>
      </c>
      <c r="BT44" s="77">
        <v>64</v>
      </c>
      <c r="BU44" s="77">
        <v>63.42</v>
      </c>
      <c r="BV44" s="77">
        <v>64.12</v>
      </c>
      <c r="BW44" s="77">
        <v>63.72</v>
      </c>
      <c r="BX44" s="77">
        <v>63.7</v>
      </c>
      <c r="BY44" s="77">
        <v>63.22</v>
      </c>
      <c r="BZ44" s="77">
        <v>63.62</v>
      </c>
      <c r="CA44" s="77">
        <v>62.64</v>
      </c>
      <c r="CB44" s="77">
        <v>62.7</v>
      </c>
      <c r="CC44" s="77">
        <v>63.98</v>
      </c>
      <c r="CD44" s="77">
        <v>64.42</v>
      </c>
      <c r="CE44" s="77">
        <v>63.56</v>
      </c>
      <c r="CF44" s="77">
        <v>67.4</v>
      </c>
      <c r="CG44" s="77">
        <v>67.64</v>
      </c>
      <c r="CH44" s="77">
        <v>66.14</v>
      </c>
      <c r="CI44" s="77">
        <v>66.7</v>
      </c>
      <c r="CJ44" s="77">
        <v>64.96</v>
      </c>
      <c r="CK44" s="77">
        <v>64.06</v>
      </c>
    </row>
    <row r="45" spans="1:29">
      <c r="A45" s="14"/>
      <c r="B45" s="15"/>
      <c r="C45" s="16"/>
      <c r="D45" s="16"/>
      <c r="E45" s="49"/>
      <c r="F45" s="50"/>
      <c r="G45" s="53"/>
      <c r="H45" s="52"/>
      <c r="I45" s="52"/>
      <c r="J45" s="52"/>
      <c r="K45" s="52"/>
      <c r="AA45" s="16"/>
      <c r="AB45" s="49"/>
      <c r="AC45" s="50"/>
    </row>
    <row r="46" s="21" customFormat="1" ht="18.35" spans="1:29">
      <c r="A46" s="30" t="s">
        <v>98</v>
      </c>
      <c r="B46" s="31"/>
      <c r="C46" s="32">
        <f>SUM(C5:C44)</f>
        <v>0.9999</v>
      </c>
      <c r="D46" s="32">
        <f>SUM(D5:D44)</f>
        <v>1</v>
      </c>
      <c r="E46" s="54">
        <f>SUM(E5:E44)</f>
        <v>10000000</v>
      </c>
      <c r="F46" s="55"/>
      <c r="G46" s="56"/>
      <c r="H46" s="57"/>
      <c r="I46" s="67"/>
      <c r="J46" s="67"/>
      <c r="K46" s="67"/>
      <c r="AA46" s="32">
        <f>SUM(AA5:AA44)</f>
        <v>1.00000000045121</v>
      </c>
      <c r="AB46" s="54">
        <f>SUM(AB5:AB44)</f>
        <v>10000000.0045121</v>
      </c>
      <c r="AC46" s="50"/>
    </row>
    <row r="47" s="22" customFormat="1" ht="18.35" spans="1:29">
      <c r="A47"/>
      <c r="B47" s="15"/>
      <c r="C47" s="16"/>
      <c r="D47" s="16"/>
      <c r="E47" s="58"/>
      <c r="F47" s="59"/>
      <c r="G47" s="60"/>
      <c r="H47" s="52"/>
      <c r="I47" s="52"/>
      <c r="J47" s="52"/>
      <c r="K47" s="52"/>
      <c r="L47"/>
      <c r="AA47" s="16"/>
      <c r="AB47" s="58"/>
      <c r="AC47" s="50"/>
    </row>
    <row r="48" s="23" customFormat="1" ht="18.35" spans="1:89">
      <c r="A48" s="33" t="s">
        <v>99</v>
      </c>
      <c r="B48" s="34" t="s">
        <v>100</v>
      </c>
      <c r="C48" s="34" t="s">
        <v>101</v>
      </c>
      <c r="D48" s="35">
        <v>-1</v>
      </c>
      <c r="E48" s="61">
        <f>G48*F48</f>
        <v>9997765.74</v>
      </c>
      <c r="F48" s="62">
        <f>ROUNDDOWN(D1/G48,0)</f>
        <v>1269</v>
      </c>
      <c r="G48" s="63">
        <v>7878.46</v>
      </c>
      <c r="H48" s="64">
        <v>7902.25</v>
      </c>
      <c r="I48" s="74">
        <v>7829.29</v>
      </c>
      <c r="J48" s="74">
        <v>7808.17</v>
      </c>
      <c r="K48" s="74">
        <v>7766.21</v>
      </c>
      <c r="L48" s="75">
        <v>7722.09</v>
      </c>
      <c r="M48" s="74">
        <v>7822</v>
      </c>
      <c r="N48" s="74">
        <v>7822.67</v>
      </c>
      <c r="O48" s="78">
        <v>7798.22</v>
      </c>
      <c r="P48" s="78">
        <v>7744.41</v>
      </c>
      <c r="Q48" s="78">
        <v>7850.43</v>
      </c>
      <c r="R48" s="78">
        <v>7818.28</v>
      </c>
      <c r="S48" s="78">
        <v>7834.58</v>
      </c>
      <c r="T48" s="78">
        <v>7800.88</v>
      </c>
      <c r="U48" s="78">
        <v>7857.36</v>
      </c>
      <c r="V48" s="78">
        <v>7861.96</v>
      </c>
      <c r="W48" s="78">
        <v>7771.97</v>
      </c>
      <c r="X48" s="78">
        <v>7546.16</v>
      </c>
      <c r="Y48" s="78">
        <v>7632.01</v>
      </c>
      <c r="Z48" s="78">
        <v>7621.04</v>
      </c>
      <c r="AA48" s="35">
        <v>-1</v>
      </c>
      <c r="AB48" s="61">
        <v>10000000.0045121</v>
      </c>
      <c r="AC48" s="50">
        <f>ROUND(AB48/AD48,0)</f>
        <v>1310</v>
      </c>
      <c r="AD48" s="78">
        <v>7635.03</v>
      </c>
      <c r="AE48" s="78">
        <v>7709.32</v>
      </c>
      <c r="AF48" s="78">
        <v>7743</v>
      </c>
      <c r="AG48" s="78">
        <v>7698.52</v>
      </c>
      <c r="AH48" s="78">
        <v>7753.42</v>
      </c>
      <c r="AI48" s="78">
        <v>7804.97</v>
      </c>
      <c r="AJ48" s="78">
        <v>7870.34</v>
      </c>
      <c r="AK48" s="78">
        <v>7923.45</v>
      </c>
      <c r="AL48" s="78">
        <v>7884.05</v>
      </c>
      <c r="AM48" s="78">
        <v>7979.08</v>
      </c>
      <c r="AN48" s="78">
        <v>7973.03</v>
      </c>
      <c r="AO48" s="78">
        <v>7938.29</v>
      </c>
      <c r="AP48" s="78">
        <v>7969.69</v>
      </c>
      <c r="AQ48" s="78">
        <v>7843.04</v>
      </c>
      <c r="AR48" s="78">
        <v>7709.81</v>
      </c>
      <c r="AS48" s="78">
        <v>7743.93</v>
      </c>
      <c r="AT48" s="78">
        <v>7762.6</v>
      </c>
      <c r="AU48" s="78">
        <v>7703.9</v>
      </c>
      <c r="AV48" s="78">
        <v>7707.9</v>
      </c>
      <c r="AW48" s="78">
        <v>7654.25</v>
      </c>
      <c r="AX48" s="78">
        <v>7719.71</v>
      </c>
      <c r="AY48" s="78">
        <v>7698.92</v>
      </c>
      <c r="AZ48" s="78">
        <v>7674.78</v>
      </c>
      <c r="BA48" s="78">
        <v>7734.84</v>
      </c>
      <c r="BB48" s="78">
        <v>7749.39</v>
      </c>
      <c r="BC48" s="78">
        <v>7761.32</v>
      </c>
      <c r="BD48" s="78">
        <v>7823.52</v>
      </c>
      <c r="BE48" s="78">
        <v>7825.24</v>
      </c>
      <c r="BF48" s="78">
        <v>7896.93</v>
      </c>
      <c r="BG48" s="78">
        <v>7818.22</v>
      </c>
      <c r="BH48" s="78">
        <v>7786.98</v>
      </c>
      <c r="BI48" s="78">
        <v>7854.61</v>
      </c>
      <c r="BJ48" s="78">
        <v>7853.59</v>
      </c>
      <c r="BK48" s="78">
        <v>7830.11</v>
      </c>
      <c r="BL48" s="78">
        <v>7872.02</v>
      </c>
      <c r="BM48" s="78">
        <v>7827.45</v>
      </c>
      <c r="BN48" s="78">
        <v>7795.42</v>
      </c>
      <c r="BO48" s="78">
        <v>7870.68</v>
      </c>
      <c r="BP48" s="78">
        <v>7880.87</v>
      </c>
      <c r="BQ48" s="78">
        <v>7895.94</v>
      </c>
      <c r="BR48" s="78">
        <v>7966.95</v>
      </c>
      <c r="BS48" s="78">
        <v>8056.63</v>
      </c>
      <c r="BT48" s="78">
        <v>8081.54</v>
      </c>
      <c r="BU48" s="78">
        <v>7971.78</v>
      </c>
      <c r="BV48" s="78">
        <v>7974.85</v>
      </c>
      <c r="BW48" s="78">
        <v>8060.13</v>
      </c>
      <c r="BX48" s="78">
        <v>8041.36</v>
      </c>
      <c r="BY48" s="78">
        <v>7918</v>
      </c>
      <c r="BZ48" s="78">
        <v>7934.26</v>
      </c>
      <c r="CA48" s="78">
        <v>7919.62</v>
      </c>
      <c r="CB48" s="78">
        <v>8077</v>
      </c>
      <c r="CC48" s="78">
        <v>8188.59</v>
      </c>
      <c r="CD48" s="78">
        <v>8174.2</v>
      </c>
      <c r="CE48" s="78">
        <v>8206.07</v>
      </c>
      <c r="CF48" s="78">
        <v>8258.86</v>
      </c>
      <c r="CG48" s="78">
        <v>8206.87</v>
      </c>
      <c r="CH48" s="78">
        <v>8225.78</v>
      </c>
      <c r="CI48" s="78">
        <v>8225.63</v>
      </c>
      <c r="CJ48" s="78">
        <v>8239.18</v>
      </c>
      <c r="CK48" s="78">
        <v>8216.58</v>
      </c>
    </row>
    <row r="49" spans="2:29">
      <c r="B49" s="15"/>
      <c r="C49" s="15"/>
      <c r="D49" s="36"/>
      <c r="E49" s="58"/>
      <c r="F49" s="59"/>
      <c r="G49" s="60"/>
      <c r="H49" s="52"/>
      <c r="I49" s="52"/>
      <c r="J49" s="52"/>
      <c r="K49" s="52"/>
      <c r="L49" s="72"/>
      <c r="AA49" s="36"/>
      <c r="AB49" s="58"/>
      <c r="AC49" s="50"/>
    </row>
    <row r="50" s="21" customFormat="1" spans="1:89">
      <c r="A50" s="21" t="s">
        <v>102</v>
      </c>
      <c r="F50" s="65"/>
      <c r="G50" s="66">
        <v>0</v>
      </c>
      <c r="H50" s="67" cm="1">
        <f t="array" ref="H50">SUMPRODUCT((H5:H44-G5:G44),F5:F44)-(H48-G48)*$F48</f>
        <v>20043.333</v>
      </c>
      <c r="I50" s="67" cm="1">
        <f t="array" ref="I50">SUMPRODUCT((I5:I44-H5:H44),$F5:$F44)-(I48-H48)*$F48</f>
        <v>784.507000000012</v>
      </c>
      <c r="J50" s="67" cm="1">
        <f t="array" ref="J50">SUMPRODUCT((J5:J44-I5:I44),$F$5:$F$44)-(J48-I48)*$F$48</f>
        <v>-1549.19400000018</v>
      </c>
      <c r="K50" s="67" cm="1">
        <f t="array" ref="K50">SUMPRODUCT((K5:K44-J5:J44),$F$5:$F$44)-(K48-J48)*$F$48</f>
        <v>7028.68199999991</v>
      </c>
      <c r="L50" s="67" cm="1">
        <f t="array" ref="L50">SUMPRODUCT((L5:L44-K5:K44),$F$5:$F$44)-(L48-K48)*$F$48</f>
        <v>-15524.5349999999</v>
      </c>
      <c r="M50" s="67" cm="1">
        <f t="array" ref="M50">SUMPRODUCT((M5:M44-L5:L44),$F$5:$F$44)-(M48-L48)*$F$48</f>
        <v>-25637.6739999998</v>
      </c>
      <c r="N50" s="67" cm="1">
        <f t="array" ref="N50">SUMPRODUCT((N5:N44-M5:M44),$F$5:$F$44)-(N48-M48)*$F$48</f>
        <v>15975.9449999999</v>
      </c>
      <c r="O50" s="67" cm="1">
        <f t="array" ref="O50">SUMPRODUCT((O5:O44-N5:N44),$F$5:$F$44)-(O48-N48)*$F$48</f>
        <v>-2081.91600000023</v>
      </c>
      <c r="P50" s="67" cm="1">
        <f t="array" ref="P50">SUMPRODUCT((P5:P44-O5:O44),$F$5:$F$44)-(P48-O48)*$F$48</f>
        <v>18635.4670000005</v>
      </c>
      <c r="Q50" s="67" cm="1">
        <f t="array" ref="Q50">SUMPRODUCT((Q5:Q44-P5:P44),$F$5:$F$44)-(Q48-P48)*$F$48</f>
        <v>-37194.9400000005</v>
      </c>
      <c r="R50" s="67" cm="1">
        <f t="array" ref="R50">SUMPRODUCT((R5:R44-Q5:Q44),$F$5:$F$44)-(R48-Q48)*$F$48</f>
        <v>-24550.5449999993</v>
      </c>
      <c r="S50" s="67" cm="1">
        <f t="array" ref="S50">SUMPRODUCT((S5:S44-R5:R44),$F$5:$F$44)-(S48-R48)*$F$48</f>
        <v>29685.9729999998</v>
      </c>
      <c r="T50" s="67" cm="1">
        <f t="array" ref="T50">SUMPRODUCT((T5:T44-S5:S44),$F$5:$F$44)-(T48-S48)*$F$48</f>
        <v>-49294.1790000003</v>
      </c>
      <c r="U50" s="67" cm="1">
        <f t="array" ref="U50">SUMPRODUCT((U5:U44-T5:T44),$F$5:$F$44)-(U48-T48)*$F$48</f>
        <v>-3564.19399999946</v>
      </c>
      <c r="V50" s="67" cm="1">
        <f t="array" ref="V50">SUMPRODUCT((V5:V44-U5:U44),$F$5:$F$44)-(V48-U48)*$F$48</f>
        <v>-52766.0730000004</v>
      </c>
      <c r="W50" s="67" cm="1">
        <f t="array" ref="W50">SUMPRODUCT((W5:W44-V5:V44),$F$5:$F$44)-(W48-V48)*$F$48</f>
        <v>20697.1269999997</v>
      </c>
      <c r="X50" s="67" cm="1">
        <f t="array" ref="X50">SUMPRODUCT((X5:X44-W5:W44),$F$5:$F$44)-(X48-W48)*$F$48</f>
        <v>-16642.3379999994</v>
      </c>
      <c r="Y50" s="67" cm="1">
        <f t="array" ref="Y50">SUMPRODUCT((Y5:Y44-X5:X44),$F$5:$F$44)-(Y48-X48)*$F$48</f>
        <v>-42157.9190000005</v>
      </c>
      <c r="Z50" s="67" cm="1">
        <f t="array" ref="Z50">SUMPRODUCT((Z5:Z44-Y5:Y44),$F$5:$F$44)-(Z48-Y48)*$F$48</f>
        <v>17133.9190000002</v>
      </c>
      <c r="AA50" s="67"/>
      <c r="AB50" s="67"/>
      <c r="AC50" s="50"/>
      <c r="AD50" s="67" cm="1">
        <f t="array" ref="AD50">SUMPRODUCT((AD5:AD44-Z5:Z44),$AC$5:$AC$44)-(AD48-Z48)*$AC$48</f>
        <v>-32344.2349999997</v>
      </c>
      <c r="AE50" s="67" cm="1">
        <f t="array" ref="AE50">SUMPRODUCT((AE5:AE44-AD5:AD44),$AC$5:$AC$44)-(AE48-AD48)*$AC$48</f>
        <v>33699.9850000002</v>
      </c>
      <c r="AF50" s="67" cm="1">
        <f t="array" ref="AF50">SUMPRODUCT((AF5:AF44-AE5:AE44),$AC$5:$AC$44)-(AF48-AE48)*$AC$48</f>
        <v>17370.1799999997</v>
      </c>
      <c r="AG50" s="67" cm="1">
        <f t="array" ref="AG50">SUMPRODUCT((AG5:AG44-AF5:AF44),$AC$5:$AC$44)-(AG48-AF48)*$AC$48</f>
        <v>-12106.6500000007</v>
      </c>
      <c r="AH50" s="67" cm="1">
        <f t="array" ref="AH50">SUMPRODUCT((AH5:AH44-AG5:AG44),$AC$5:$AC$44)-(AH48-AG48)*$AAB$48</f>
        <v>62529.7850000002</v>
      </c>
      <c r="AI50" s="67" cm="1">
        <f t="array" ref="AI50">SUMPRODUCT((AI5:AI44-AH5:AH44),$AC$5:$AC$44)-(AI48-AH48)*$AAB$48</f>
        <v>81242.3649999998</v>
      </c>
      <c r="AJ50" s="67" cm="1">
        <f t="array" ref="AJ50">SUMPRODUCT((AJ5:AJ44-AI5:AI44),$AC$5:$AC$44)-(AJ48-AI48)*$AAB$48</f>
        <v>68388.6800000002</v>
      </c>
      <c r="AK50" s="67" cm="1">
        <f t="array" ref="AK50">SUMPRODUCT((AK5:AK44-AJ5:AJ44),$AC$5:$AC$44)-(AK48-AJ48)*$AAB$48</f>
        <v>78574.7099999999</v>
      </c>
      <c r="AL50" s="67" cm="1">
        <f t="array" ref="AL50">SUMPRODUCT((AL5:AL44-AK5:AK44),$AC$5:$AC$44)-(AL48-AK48)*$AAB$48</f>
        <v>-38709.5349999999</v>
      </c>
      <c r="AM50" s="67" cm="1">
        <f t="array" ref="AM50">SUMPRODUCT((AM5:AM44-AL5:AL44),$AC$5:$AC$44)-(AM48-AL48)*$AAB$48</f>
        <v>162644.99</v>
      </c>
      <c r="AN50" s="67" cm="1">
        <f t="array" ref="AN50">SUMPRODUCT((AN5:AN44-AM5:AM44),$AC$5:$AC$44)-(AN48-AM48)*$AAB$48</f>
        <v>-4278.19499999993</v>
      </c>
      <c r="AO50" s="67" cm="1">
        <f t="array" ref="AO50">SUMPRODUCT((AO5:AO44-AN5:AN44),$AC$5:$AC$44)-(AO48-AN48)*$AAB$48</f>
        <v>-74168.245</v>
      </c>
      <c r="AP50" s="67" cm="1">
        <f t="array" ref="AP50">SUMPRODUCT((AP5:AP44-AO5:AO44),$AC$5:$AC$44)-(AP48-AO48)*$AAB$48</f>
        <v>66316.3000000001</v>
      </c>
      <c r="AQ50" s="67" cm="1">
        <f t="array" ref="AQ50">SUMPRODUCT((AQ5:AQ44-AP5:AP44),$AC$5:$AC$44)-(AQ48-AP48)*$AAB$48</f>
        <v>-107988.705</v>
      </c>
      <c r="AR50" s="67" cm="1">
        <f t="array" ref="AR50">SUMPRODUCT((AR5:AR44-AQ5:AQ44),$AC$5:$AC$44)-(AR48-AQ48)*$AAB$48</f>
        <v>-115711.295</v>
      </c>
      <c r="AS50" s="67" cm="1">
        <f t="array" ref="AS50">SUMPRODUCT((AS5:AS44-AR5:AR44),$AC$5:$AC$44)-(AS48-AR48)*$AAB$48</f>
        <v>36839.375</v>
      </c>
      <c r="AT50" s="67" cm="1">
        <f t="array" ref="AT50">SUMPRODUCT((AT5:AT44-AS5:AS44),$AC$5:$AC$44)-(AT48-AS48)*$AAB$48</f>
        <v>39010.8950000001</v>
      </c>
      <c r="AU50" s="67" cm="1">
        <f t="array" ref="AU50">SUMPRODUCT((AU5:AU44-AT5:AT44),$AC$5:$AC$44)-(AU48-AT48)*$AAB$48</f>
        <v>-89760.185</v>
      </c>
      <c r="AV50" s="67" cm="1">
        <f t="array" ref="AV50">SUMPRODUCT((AV5:AV44-AU5:AU44),$AC$5:$AC$44)-(AV48-AU48)*$AAB$48</f>
        <v>15561.305</v>
      </c>
      <c r="AW50" s="67" cm="1">
        <f t="array" ref="AW50">SUMPRODUCT((AW5:AW44-AV5:AV44),$AC$5:$AC$44)-(AW48-AV48)*$AAB$48</f>
        <v>-42165.87</v>
      </c>
      <c r="AX50" s="67" cm="1">
        <f t="array" ref="AX50">SUMPRODUCT((AX5:AX44-AW5:AW44),$AC$5:$AC$44)-(AX48-AW48)*$AAB$48</f>
        <v>103902.835</v>
      </c>
      <c r="AY50" s="67" cm="1">
        <f t="array" ref="AY50">SUMPRODUCT((AY5:AY44-AX5:AX44),$AC$5:$AC$44)-(AY48-AX48)*$AAB$48</f>
        <v>-56630.195</v>
      </c>
      <c r="AZ50" s="67" cm="1">
        <f t="array" ref="AZ50">SUMPRODUCT((AZ5:AZ44-AY5:AY44),$AC$5:$AC$44)-(AZ48-AY48)*$AAB$48</f>
        <v>2232.51000000005</v>
      </c>
      <c r="BA50" s="67" cm="1">
        <f t="array" ref="BA50">SUMPRODUCT((BA5:BA44-AZ5:AZ44),$AC$5:$AC$44)-(BA48-AZ48)*$AAB$48</f>
        <v>79071.9649999998</v>
      </c>
      <c r="BB50" s="67" cm="1">
        <f t="array" ref="BB50">SUMPRODUCT((BB5:BB44-BA5:BA44),$AC$5:$AC$44)-(BB48-BA48)*$AAB$48</f>
        <v>-8186.91499999988</v>
      </c>
      <c r="BC50" s="67" cm="1">
        <f t="array" ref="BC50">SUMPRODUCT((BC5:BC44-BB5:BB44),$AC$5:$AC$44)-(BC48-BB48)*$AAB$48</f>
        <v>12893.805</v>
      </c>
      <c r="BD50" s="67" cm="1">
        <f t="array" ref="BD50">SUMPRODUCT((BD5:BD44-BC5:BC44),$AC$5:$AC$44)-(BD48-BC48)*$AAB$48</f>
        <v>72070.8700000001</v>
      </c>
      <c r="BE50" s="67" cm="1">
        <f t="array" ref="BE50">SUMPRODUCT((BE5:BE44-BD5:BD44),$AC$5:$AC$44)-(BE48-BD48)*$AAB$48</f>
        <v>1366.41499999994</v>
      </c>
      <c r="BF50" s="67" cm="1">
        <f t="array" ref="BF50">SUMPRODUCT((BF5:BF44-BE5:BE44),$AC$5:$AC$44)-(BF48-BE48)*$AAB$48</f>
        <v>97035.2100000001</v>
      </c>
      <c r="BG50" s="67" cm="1">
        <f t="array" ref="BG50">SUMPRODUCT((BG5:BG44-BF5:BF44),$AC$5:$AC$44)-(BG48-BF48)*$AAB$48</f>
        <v>-62566.125</v>
      </c>
      <c r="BH50" s="67" cm="1">
        <f t="array" ref="BH50">SUMPRODUCT((BH5:BH44-BG5:BG44),$AC$5:$AC$44)-(BH48-BG48)*$AAB$48</f>
        <v>-11293.6750000003</v>
      </c>
      <c r="BI50" s="67" cm="1">
        <f t="array" ref="BI50">SUMPRODUCT((BI5:BI44-BH5:BH44),$AC$5:$AC$44)-(BI48-BH48)*$AAB$48</f>
        <v>93413.3350000003</v>
      </c>
      <c r="BJ50" s="67" cm="1">
        <f t="array" ref="BJ50">SUMPRODUCT((BJ5:BJ44-BI5:BI44),$AC$5:$AC$44)-(BJ48-BI48)*$AAB$48</f>
        <v>-25104.1450000001</v>
      </c>
      <c r="BK50" s="67" cm="1">
        <f t="array" ref="BK50">SUMPRODUCT((BK5:BK44-BJ5:BJ44),$AC$5:$AC$44)-(BK48-BJ48)*$AAB$48</f>
        <v>-42959.8900000002</v>
      </c>
      <c r="BL50" s="67" cm="1">
        <f t="array" ref="BL50">SUMPRODUCT((BL5:BL44-BK5:BK44),$AC$5:$AC$44)-(BL48-BK48)*$AAB$48</f>
        <v>81557.9850000003</v>
      </c>
      <c r="BM50" s="67" cm="1">
        <f t="array" ref="BM50">SUMPRODUCT((BM5:BM44-BL5:BL44),$AC$5:$AC$44)-(BM48-BL48)*$AAB$48</f>
        <v>-52055.555</v>
      </c>
      <c r="BN50" s="67" cm="1">
        <f t="array" ref="BN50">SUMPRODUCT((BN5:BN44-BM5:BM44),$AC$5:$AC$44)-(BN48-BM48)*$AAB$48</f>
        <v>-46932.2049999998</v>
      </c>
      <c r="BO50" s="67" cm="1">
        <f t="array" ref="BO50">SUMPRODUCT((BO5:BO44-BN5:BN44),$AC$5:$AC$44)-(BO48-BN48)*$AAB$48</f>
        <v>110924.685</v>
      </c>
      <c r="BP50" s="67" cm="1">
        <f t="array" ref="BP50">SUMPRODUCT((BP5:BP44-BO5:BO44),$AC$5:$AC$44)-(BP48-BO48)*$AAB$48</f>
        <v>38794.37</v>
      </c>
      <c r="BQ50" s="67" cm="1">
        <f t="array" ref="BQ50">SUMPRODUCT((BQ5:BQ44-BP5:BP44),$AC$5:$AC$44)-(BQ48-BP48)*$AAB$48</f>
        <v>4415.87000000007</v>
      </c>
      <c r="BR50" s="67" cm="1">
        <f t="array" ref="BR50">SUMPRODUCT((BR5:BR44-BQ5:BQ44),$AC$5:$AC$44)-(BR48-BQ48)*$AAB$48</f>
        <v>149053.495</v>
      </c>
      <c r="BS50" s="67" cm="1">
        <f t="array" ref="BS50">SUMPRODUCT((BS5:BS44-BR5:BR44),$AC$5:$AC$44)-(BS48-BR48)*$AAB$48</f>
        <v>137326.16</v>
      </c>
      <c r="BT50" s="67" cm="1">
        <f t="array" ref="BT50">SUMPRODUCT((BT5:BT44-BS5:BS44),$AC$5:$AC$44)-(BT48-BS48)*$AAB$48</f>
        <v>83004.8600000002</v>
      </c>
      <c r="BU50" s="67" cm="1">
        <f t="array" ref="BU50">SUMPRODUCT((BU5:BU44-BT5:BT44),$AC$5:$AC$44)-(BU48-BT48)*$AAB$48</f>
        <v>-113212.765</v>
      </c>
      <c r="BV50" s="67" cm="1">
        <f t="array" ref="BV50">SUMPRODUCT((BV5:BV44-BU5:BU44),$AC$5:$AC$44)-(BV48-BU48)*$AAB$48</f>
        <v>45674.6849999999</v>
      </c>
      <c r="BW50" s="67" cm="1">
        <f t="array" ref="BW50">SUMPRODUCT((BW5:BW44-BV5:BV44),$AC$5:$AC$44)-(BW48-BV48)*$AAB$48</f>
        <v>140945.03</v>
      </c>
      <c r="BX50" s="67" cm="1">
        <f t="array" ref="BX50">SUMPRODUCT((BX5:BX44-BW5:BW44),$AC$5:$AC$44)-(BX48-BW48)*$AAB$48</f>
        <v>-55907.35</v>
      </c>
      <c r="BY50" s="67" cm="1">
        <f t="array" ref="BY50">SUMPRODUCT((BY5:BY44-BX5:BX44),$AC$5:$AC$44)-(BY48-BX48)*$AAB$48</f>
        <v>-201983.61</v>
      </c>
      <c r="BZ50" s="67" cm="1">
        <f t="array" ref="BZ50">SUMPRODUCT((BZ5:BZ44-BY5:BY44),$AC$5:$AC$44)-(BZ48-BY48)*$AAB$48</f>
        <v>27555.32</v>
      </c>
      <c r="CA50" s="67" cm="1">
        <f t="array" ref="CA50">SUMPRODUCT((CA5:CA44-BZ5:BZ44),$AC$5:$AC$44)-(CA48-BZ48)*$AAB$48</f>
        <v>-60707.5149999999</v>
      </c>
      <c r="CB50" s="67" cm="1">
        <f t="array" ref="CB50">SUMPRODUCT((CB5:CB44-CA5:CA44),$AC$5:$AC$44)-(CB48-CA48)*$AAB$48</f>
        <v>230763.455</v>
      </c>
      <c r="CC50" s="67" cm="1">
        <f t="array" ref="CC50">SUMPRODUCT((CC5:CC44-CB5:CB44),$AC$5:$AC$44)-(CC48-CB48)*$AAB$48</f>
        <v>138391.665</v>
      </c>
      <c r="CD50" s="67" cm="1">
        <f t="array" ref="CD50">SUMPRODUCT((CD5:CD44-CC5:CC44),$AC$5:$AC$44)-(CD48-CC48)*$AAB$48</f>
        <v>42486.225</v>
      </c>
      <c r="CE50" s="67" cm="1">
        <f t="array" ref="CE50">SUMPRODUCT((CE5:CE44-CD5:CD44),$AC$5:$AC$44)-(CE48-CD48)*$AAB$48</f>
        <v>112406</v>
      </c>
      <c r="CF50" s="67" cm="1">
        <f t="array" ref="CF50">SUMPRODUCT((CF5:CF44-CE5:CE44),$AC$5:$AC$44)-(CF48-CE48)*$AAB$48</f>
        <v>74530.1450000001</v>
      </c>
      <c r="CG50" s="67" cm="1">
        <f t="array" ref="CG50">SUMPRODUCT((CG5:CG44-CF5:CF44),$AC$5:$AC$44)-(CG48-CF48)*$AAB$48</f>
        <v>-75110.0649999999</v>
      </c>
      <c r="CH50" s="67" cm="1">
        <f t="array" ref="CH50">SUMPRODUCT((CH5:CH44-CG5:CG44),$AC$5:$AC$44)-(CH48-CG48)*$AAB$48</f>
        <v>31131.7899999996</v>
      </c>
      <c r="CI50" s="67" cm="1">
        <f t="array" ref="CI50">SUMPRODUCT((CI5:CI44-CH5:CH44),$AC$5:$AC$44)-(CI48-CH48)*$AAB$48</f>
        <v>8056.29999999996</v>
      </c>
      <c r="CJ50" s="67" cm="1">
        <f t="array" ref="CJ50">SUMPRODUCT((CJ5:CJ44-CI5:CI44),$AC$5:$AC$44)-(CJ48-CI48)*$AAB$48</f>
        <v>11790.4950000002</v>
      </c>
      <c r="CK50" s="67" cm="1">
        <f t="array" ref="CK50">SUMPRODUCT((CK5:CK44-CJ5:CJ44),$AC$5:$AC$44)-(CK48-CJ48)*$AAB$48</f>
        <v>-11451.155</v>
      </c>
    </row>
    <row r="51" s="21" customFormat="1" spans="1:89">
      <c r="A51" s="21" t="s">
        <v>103</v>
      </c>
      <c r="F51" s="65"/>
      <c r="G51" s="68">
        <v>0</v>
      </c>
      <c r="H51" s="69">
        <f t="shared" ref="H51:AY51" si="4">H50/$E$46</f>
        <v>0.0020043333</v>
      </c>
      <c r="I51" s="69">
        <f t="shared" si="4"/>
        <v>7.84507000000012e-5</v>
      </c>
      <c r="J51" s="69">
        <f t="shared" si="4"/>
        <v>-0.000154919400000018</v>
      </c>
      <c r="K51" s="69">
        <f t="shared" si="4"/>
        <v>0.000702868199999991</v>
      </c>
      <c r="L51" s="69">
        <f t="shared" si="4"/>
        <v>-0.00155245349999999</v>
      </c>
      <c r="M51" s="69">
        <f t="shared" si="4"/>
        <v>-0.00256376739999998</v>
      </c>
      <c r="N51" s="69">
        <f t="shared" si="4"/>
        <v>0.00159759449999999</v>
      </c>
      <c r="O51" s="69">
        <f t="shared" si="4"/>
        <v>-0.000208191600000023</v>
      </c>
      <c r="P51" s="69">
        <f t="shared" si="4"/>
        <v>0.00186354670000005</v>
      </c>
      <c r="Q51" s="69">
        <f t="shared" si="4"/>
        <v>-0.00371949400000005</v>
      </c>
      <c r="R51" s="69">
        <f t="shared" si="4"/>
        <v>-0.00245505449999993</v>
      </c>
      <c r="S51" s="69">
        <f t="shared" si="4"/>
        <v>0.00296859729999998</v>
      </c>
      <c r="T51" s="69">
        <f t="shared" si="4"/>
        <v>-0.00492941790000003</v>
      </c>
      <c r="U51" s="79">
        <f t="shared" si="4"/>
        <v>-0.000356419399999946</v>
      </c>
      <c r="V51" s="69">
        <f t="shared" si="4"/>
        <v>-0.00527660730000004</v>
      </c>
      <c r="W51" s="69">
        <f t="shared" si="4"/>
        <v>0.00206971269999997</v>
      </c>
      <c r="X51" s="69">
        <f t="shared" si="4"/>
        <v>-0.00166423379999994</v>
      </c>
      <c r="Y51" s="69">
        <f t="shared" si="4"/>
        <v>-0.00421579190000005</v>
      </c>
      <c r="Z51" s="69">
        <f t="shared" si="4"/>
        <v>0.00171339190000002</v>
      </c>
      <c r="AA51" s="69"/>
      <c r="AB51" s="69"/>
      <c r="AC51" s="50"/>
      <c r="AD51" s="69">
        <f>AD50/$E$46</f>
        <v>-0.00323442349999997</v>
      </c>
      <c r="AE51" s="69">
        <f t="shared" si="4"/>
        <v>0.00336999850000002</v>
      </c>
      <c r="AF51" s="69">
        <f t="shared" si="4"/>
        <v>0.00173701799999997</v>
      </c>
      <c r="AG51" s="69">
        <f t="shared" si="4"/>
        <v>-0.00121066500000007</v>
      </c>
      <c r="AH51" s="69">
        <f t="shared" si="4"/>
        <v>0.00625297850000002</v>
      </c>
      <c r="AI51" s="69">
        <f t="shared" si="4"/>
        <v>0.00812423649999998</v>
      </c>
      <c r="AJ51" s="69">
        <f t="shared" si="4"/>
        <v>0.00683886800000002</v>
      </c>
      <c r="AK51" s="69">
        <f t="shared" si="4"/>
        <v>0.00785747099999999</v>
      </c>
      <c r="AL51" s="69">
        <f t="shared" si="4"/>
        <v>-0.00387095349999999</v>
      </c>
      <c r="AM51" s="69">
        <f t="shared" si="4"/>
        <v>0.016264499</v>
      </c>
      <c r="AN51" s="69">
        <f t="shared" si="4"/>
        <v>-0.000427819499999992</v>
      </c>
      <c r="AO51" s="69">
        <f t="shared" si="4"/>
        <v>-0.0074168245</v>
      </c>
      <c r="AP51" s="69">
        <f t="shared" si="4"/>
        <v>0.00663163000000001</v>
      </c>
      <c r="AQ51" s="69">
        <f t="shared" si="4"/>
        <v>-0.0107988705</v>
      </c>
      <c r="AR51" s="69">
        <f t="shared" si="4"/>
        <v>-0.0115711295</v>
      </c>
      <c r="AS51" s="69">
        <f t="shared" si="4"/>
        <v>0.0036839375</v>
      </c>
      <c r="AT51" s="69">
        <f t="shared" si="4"/>
        <v>0.00390108950000001</v>
      </c>
      <c r="AU51" s="69">
        <f t="shared" si="4"/>
        <v>-0.0089760185</v>
      </c>
      <c r="AV51" s="69">
        <f t="shared" si="4"/>
        <v>0.0015561305</v>
      </c>
      <c r="AW51" s="69">
        <f t="shared" si="4"/>
        <v>-0.00421658699999999</v>
      </c>
      <c r="AX51" s="69">
        <f t="shared" si="4"/>
        <v>0.0103902835</v>
      </c>
      <c r="AY51" s="69">
        <f t="shared" si="4"/>
        <v>-0.0056630195</v>
      </c>
      <c r="AZ51" s="69">
        <f t="shared" ref="AZ51:CK51" si="5">AZ50/$E$46</f>
        <v>0.000223251000000005</v>
      </c>
      <c r="BA51" s="69">
        <f t="shared" si="5"/>
        <v>0.00790719649999998</v>
      </c>
      <c r="BB51" s="69">
        <f t="shared" si="5"/>
        <v>-0.000818691499999988</v>
      </c>
      <c r="BC51" s="69">
        <f t="shared" si="5"/>
        <v>0.0012893805</v>
      </c>
      <c r="BD51" s="69">
        <f t="shared" si="5"/>
        <v>0.00720708700000001</v>
      </c>
      <c r="BE51" s="69">
        <f t="shared" si="5"/>
        <v>0.000136641499999994</v>
      </c>
      <c r="BF51" s="69">
        <f t="shared" si="5"/>
        <v>0.00970352100000001</v>
      </c>
      <c r="BG51" s="69">
        <f t="shared" si="5"/>
        <v>-0.0062566125</v>
      </c>
      <c r="BH51" s="69">
        <f t="shared" si="5"/>
        <v>-0.00112936750000003</v>
      </c>
      <c r="BI51" s="69">
        <f t="shared" si="5"/>
        <v>0.00934133350000003</v>
      </c>
      <c r="BJ51" s="69">
        <f t="shared" si="5"/>
        <v>-0.00251041450000001</v>
      </c>
      <c r="BK51" s="69">
        <f t="shared" si="5"/>
        <v>-0.00429598900000002</v>
      </c>
      <c r="BL51" s="69">
        <f t="shared" si="5"/>
        <v>0.00815579850000003</v>
      </c>
      <c r="BM51" s="69">
        <f t="shared" si="5"/>
        <v>-0.0052055555</v>
      </c>
      <c r="BN51" s="69">
        <f t="shared" si="5"/>
        <v>-0.00469322049999998</v>
      </c>
      <c r="BO51" s="69">
        <f t="shared" si="5"/>
        <v>0.0110924685</v>
      </c>
      <c r="BP51" s="69">
        <f t="shared" si="5"/>
        <v>0.003879437</v>
      </c>
      <c r="BQ51" s="69">
        <f t="shared" si="5"/>
        <v>0.000441587000000007</v>
      </c>
      <c r="BR51" s="69">
        <f t="shared" si="5"/>
        <v>0.0149053495</v>
      </c>
      <c r="BS51" s="69">
        <f t="shared" si="5"/>
        <v>0.013732616</v>
      </c>
      <c r="BT51" s="69">
        <f t="shared" si="5"/>
        <v>0.00830048600000002</v>
      </c>
      <c r="BU51" s="69">
        <f t="shared" si="5"/>
        <v>-0.0113212765</v>
      </c>
      <c r="BV51" s="69">
        <f t="shared" si="5"/>
        <v>0.00456746849999999</v>
      </c>
      <c r="BW51" s="69">
        <f t="shared" si="5"/>
        <v>0.014094503</v>
      </c>
      <c r="BX51" s="69">
        <f t="shared" si="5"/>
        <v>-0.005590735</v>
      </c>
      <c r="BY51" s="69">
        <f t="shared" si="5"/>
        <v>-0.020198361</v>
      </c>
      <c r="BZ51" s="69">
        <f t="shared" si="5"/>
        <v>0.002755532</v>
      </c>
      <c r="CA51" s="69">
        <f t="shared" si="5"/>
        <v>-0.00607075149999999</v>
      </c>
      <c r="CB51" s="69">
        <f t="shared" si="5"/>
        <v>0.0230763455</v>
      </c>
      <c r="CC51" s="69">
        <f t="shared" si="5"/>
        <v>0.0138391665</v>
      </c>
      <c r="CD51" s="69">
        <f t="shared" si="5"/>
        <v>0.0042486225</v>
      </c>
      <c r="CE51" s="69">
        <f t="shared" si="5"/>
        <v>0.0112406</v>
      </c>
      <c r="CF51" s="69">
        <f t="shared" si="5"/>
        <v>0.00745301450000001</v>
      </c>
      <c r="CG51" s="69">
        <f t="shared" si="5"/>
        <v>-0.00751100649999999</v>
      </c>
      <c r="CH51" s="69">
        <f t="shared" si="5"/>
        <v>0.00311317899999996</v>
      </c>
      <c r="CI51" s="69">
        <f t="shared" si="5"/>
        <v>0.000805629999999996</v>
      </c>
      <c r="CJ51" s="69">
        <f t="shared" si="5"/>
        <v>0.00117904950000002</v>
      </c>
      <c r="CK51" s="69">
        <f t="shared" si="5"/>
        <v>-0.0011451155</v>
      </c>
    </row>
    <row r="52" s="21" customFormat="1" spans="1:89">
      <c r="A52" s="21" t="s">
        <v>104</v>
      </c>
      <c r="F52" s="65"/>
      <c r="G52" s="66">
        <v>0</v>
      </c>
      <c r="H52" s="70">
        <f>H50</f>
        <v>20043.333</v>
      </c>
      <c r="I52" s="70">
        <f>H52+I50</f>
        <v>20827.84</v>
      </c>
      <c r="J52" s="70">
        <f t="shared" ref="J52:M52" si="6">I52+J50</f>
        <v>19278.6459999999</v>
      </c>
      <c r="K52" s="70">
        <f t="shared" si="6"/>
        <v>26307.3279999998</v>
      </c>
      <c r="L52" s="70">
        <f t="shared" si="6"/>
        <v>10782.7929999999</v>
      </c>
      <c r="M52" s="70">
        <f t="shared" si="6"/>
        <v>-14854.881</v>
      </c>
      <c r="N52" s="70">
        <f t="shared" ref="N52:AK52" si="7">M52+N50</f>
        <v>1121.06399999995</v>
      </c>
      <c r="O52" s="70">
        <f t="shared" si="7"/>
        <v>-960.852000000281</v>
      </c>
      <c r="P52" s="70">
        <f t="shared" si="7"/>
        <v>17674.6150000002</v>
      </c>
      <c r="Q52" s="70">
        <f t="shared" si="7"/>
        <v>-19520.3250000003</v>
      </c>
      <c r="R52" s="70">
        <f t="shared" si="7"/>
        <v>-44070.8699999996</v>
      </c>
      <c r="S52" s="70">
        <f t="shared" si="7"/>
        <v>-14384.8969999998</v>
      </c>
      <c r="T52" s="70">
        <f t="shared" si="7"/>
        <v>-63679.0760000001</v>
      </c>
      <c r="U52" s="67">
        <f t="shared" si="7"/>
        <v>-67243.2699999996</v>
      </c>
      <c r="V52" s="70">
        <f t="shared" si="7"/>
        <v>-120009.343</v>
      </c>
      <c r="W52" s="70">
        <f t="shared" si="7"/>
        <v>-99312.2160000003</v>
      </c>
      <c r="X52" s="70">
        <f t="shared" si="7"/>
        <v>-115954.554</v>
      </c>
      <c r="Y52" s="70">
        <f t="shared" si="7"/>
        <v>-158112.473</v>
      </c>
      <c r="Z52" s="70">
        <f t="shared" si="7"/>
        <v>-140978.554</v>
      </c>
      <c r="AA52" s="70"/>
      <c r="AB52" s="70"/>
      <c r="AC52" s="50"/>
      <c r="AD52" s="70">
        <f>Z52+AD50</f>
        <v>-173322.789</v>
      </c>
      <c r="AE52" s="70">
        <f>AD52+AE50</f>
        <v>-139622.804</v>
      </c>
      <c r="AF52" s="70">
        <f t="shared" si="7"/>
        <v>-122252.624</v>
      </c>
      <c r="AG52" s="70">
        <f t="shared" si="7"/>
        <v>-134359.274000001</v>
      </c>
      <c r="AH52" s="70">
        <f t="shared" si="7"/>
        <v>-71829.4890000004</v>
      </c>
      <c r="AI52" s="70">
        <f t="shared" si="7"/>
        <v>9412.87599999939</v>
      </c>
      <c r="AJ52" s="70">
        <f t="shared" si="7"/>
        <v>77801.5559999996</v>
      </c>
      <c r="AK52" s="70">
        <f t="shared" si="7"/>
        <v>156376.265999999</v>
      </c>
      <c r="AL52" s="70">
        <f t="shared" ref="AL52" si="8">AK52+AL50</f>
        <v>117666.731</v>
      </c>
      <c r="AM52" s="70">
        <f t="shared" ref="AM52" si="9">AL52+AM50</f>
        <v>280311.720999999</v>
      </c>
      <c r="AN52" s="70">
        <f t="shared" ref="AN52" si="10">AM52+AN50</f>
        <v>276033.525999999</v>
      </c>
      <c r="AO52" s="70">
        <f t="shared" ref="AO52" si="11">AN52+AO50</f>
        <v>201865.280999999</v>
      </c>
      <c r="AP52" s="70">
        <f t="shared" ref="AP52" si="12">AO52+AP50</f>
        <v>268181.581</v>
      </c>
      <c r="AQ52" s="70">
        <f t="shared" ref="AQ52" si="13">AP52+AQ50</f>
        <v>160192.876</v>
      </c>
      <c r="AR52" s="70">
        <f t="shared" ref="AR52" si="14">AQ52+AR50</f>
        <v>44481.5809999994</v>
      </c>
      <c r="AS52" s="70">
        <f t="shared" ref="AS52" si="15">AR52+AS50</f>
        <v>81320.9559999994</v>
      </c>
      <c r="AT52" s="70">
        <f t="shared" ref="AT52" si="16">AS52+AT50</f>
        <v>120331.850999999</v>
      </c>
      <c r="AU52" s="70">
        <f t="shared" ref="AU52" si="17">AT52+AU50</f>
        <v>30571.6659999994</v>
      </c>
      <c r="AV52" s="70">
        <f t="shared" ref="AV52" si="18">AU52+AV50</f>
        <v>46132.9709999994</v>
      </c>
      <c r="AW52" s="70">
        <f t="shared" ref="AW52" si="19">AV52+AW50</f>
        <v>3967.10099999943</v>
      </c>
      <c r="AX52" s="70">
        <f t="shared" ref="AX52" si="20">AW52+AX50</f>
        <v>107869.935999999</v>
      </c>
      <c r="AY52" s="70">
        <f t="shared" ref="AY52" si="21">AX52+AY50</f>
        <v>51239.7409999993</v>
      </c>
      <c r="AZ52" s="70">
        <f t="shared" ref="AZ52:CK52" si="22">AY52+AZ50</f>
        <v>53472.2509999994</v>
      </c>
      <c r="BA52" s="70">
        <f t="shared" si="22"/>
        <v>132544.215999999</v>
      </c>
      <c r="BB52" s="70">
        <f t="shared" si="22"/>
        <v>124357.300999999</v>
      </c>
      <c r="BC52" s="70">
        <f t="shared" si="22"/>
        <v>137251.105999999</v>
      </c>
      <c r="BD52" s="70">
        <f t="shared" si="22"/>
        <v>209321.975999999</v>
      </c>
      <c r="BE52" s="70">
        <f t="shared" si="22"/>
        <v>210688.390999999</v>
      </c>
      <c r="BF52" s="70">
        <f t="shared" si="22"/>
        <v>307723.600999999</v>
      </c>
      <c r="BG52" s="70">
        <f t="shared" si="22"/>
        <v>245157.475999999</v>
      </c>
      <c r="BH52" s="70">
        <f t="shared" si="22"/>
        <v>233863.800999999</v>
      </c>
      <c r="BI52" s="70">
        <f t="shared" si="22"/>
        <v>327277.136</v>
      </c>
      <c r="BJ52" s="70">
        <f t="shared" si="22"/>
        <v>302172.990999999</v>
      </c>
      <c r="BK52" s="70">
        <f t="shared" si="22"/>
        <v>259213.100999999</v>
      </c>
      <c r="BL52" s="70">
        <f t="shared" si="22"/>
        <v>340771.086</v>
      </c>
      <c r="BM52" s="70">
        <f t="shared" si="22"/>
        <v>288715.531</v>
      </c>
      <c r="BN52" s="70">
        <f t="shared" si="22"/>
        <v>241783.326</v>
      </c>
      <c r="BO52" s="70">
        <f t="shared" si="22"/>
        <v>352708.010999999</v>
      </c>
      <c r="BP52" s="70">
        <f t="shared" si="22"/>
        <v>391502.380999999</v>
      </c>
      <c r="BQ52" s="70">
        <f t="shared" si="22"/>
        <v>395918.250999999</v>
      </c>
      <c r="BR52" s="70">
        <f t="shared" si="22"/>
        <v>544971.746</v>
      </c>
      <c r="BS52" s="70">
        <f t="shared" si="22"/>
        <v>682297.905999999</v>
      </c>
      <c r="BT52" s="70">
        <f t="shared" si="22"/>
        <v>765302.766</v>
      </c>
      <c r="BU52" s="70">
        <f t="shared" si="22"/>
        <v>652090.001</v>
      </c>
      <c r="BV52" s="70">
        <f t="shared" si="22"/>
        <v>697764.685999999</v>
      </c>
      <c r="BW52" s="70">
        <f t="shared" si="22"/>
        <v>838709.716</v>
      </c>
      <c r="BX52" s="70">
        <f t="shared" si="22"/>
        <v>782802.366</v>
      </c>
      <c r="BY52" s="70">
        <f t="shared" si="22"/>
        <v>580818.755999999</v>
      </c>
      <c r="BZ52" s="70">
        <f t="shared" si="22"/>
        <v>608374.075999999</v>
      </c>
      <c r="CA52" s="70">
        <f t="shared" si="22"/>
        <v>547666.561</v>
      </c>
      <c r="CB52" s="70">
        <f t="shared" si="22"/>
        <v>778430.016</v>
      </c>
      <c r="CC52" s="70">
        <f t="shared" si="22"/>
        <v>916821.681</v>
      </c>
      <c r="CD52" s="70">
        <f t="shared" si="22"/>
        <v>959307.906</v>
      </c>
      <c r="CE52" s="70">
        <f t="shared" si="22"/>
        <v>1071713.906</v>
      </c>
      <c r="CF52" s="70">
        <f t="shared" si="22"/>
        <v>1146244.051</v>
      </c>
      <c r="CG52" s="70">
        <f t="shared" si="22"/>
        <v>1071133.986</v>
      </c>
      <c r="CH52" s="70">
        <f t="shared" si="22"/>
        <v>1102265.776</v>
      </c>
      <c r="CI52" s="70">
        <f t="shared" si="22"/>
        <v>1110322.076</v>
      </c>
      <c r="CJ52" s="70">
        <f t="shared" si="22"/>
        <v>1122112.571</v>
      </c>
      <c r="CK52" s="70">
        <f t="shared" si="22"/>
        <v>1110661.416</v>
      </c>
    </row>
    <row r="53" s="24" customFormat="1" spans="1:89">
      <c r="A53" s="24" t="s">
        <v>105</v>
      </c>
      <c r="F53" s="65"/>
      <c r="G53" s="68">
        <v>0</v>
      </c>
      <c r="H53" s="71">
        <f>H52/$D$1</f>
        <v>0.0020043333</v>
      </c>
      <c r="I53" s="71">
        <f t="shared" ref="I53:M53" si="23">I52/$D$1</f>
        <v>0.002082784</v>
      </c>
      <c r="J53" s="71">
        <f t="shared" si="23"/>
        <v>0.00192786459999999</v>
      </c>
      <c r="K53" s="71">
        <f t="shared" si="23"/>
        <v>0.00263073279999998</v>
      </c>
      <c r="L53" s="71">
        <f t="shared" si="23"/>
        <v>0.00107827929999999</v>
      </c>
      <c r="M53" s="71">
        <f t="shared" si="23"/>
        <v>-0.0014854881</v>
      </c>
      <c r="N53" s="71">
        <f t="shared" ref="N53:U53" si="24">N52/$D$1</f>
        <v>0.000112106399999995</v>
      </c>
      <c r="O53" s="71">
        <f t="shared" si="24"/>
        <v>-9.60852000000281e-5</v>
      </c>
      <c r="P53" s="71">
        <f t="shared" si="24"/>
        <v>0.00176746150000002</v>
      </c>
      <c r="Q53" s="71">
        <f t="shared" si="24"/>
        <v>-0.00195203250000003</v>
      </c>
      <c r="R53" s="71">
        <f t="shared" si="24"/>
        <v>-0.00440708699999996</v>
      </c>
      <c r="S53" s="71">
        <f t="shared" si="24"/>
        <v>-0.00143848969999998</v>
      </c>
      <c r="T53" s="71">
        <f t="shared" si="24"/>
        <v>-0.00636790760000001</v>
      </c>
      <c r="U53" s="80">
        <f t="shared" si="24"/>
        <v>-0.00672432699999996</v>
      </c>
      <c r="V53" s="71">
        <f t="shared" ref="V53:AY53" si="25">V52/$D$1</f>
        <v>-0.0120009343</v>
      </c>
      <c r="W53" s="71">
        <f t="shared" si="25"/>
        <v>-0.00993122160000003</v>
      </c>
      <c r="X53" s="71">
        <f t="shared" si="25"/>
        <v>-0.0115954554</v>
      </c>
      <c r="Y53" s="71">
        <f t="shared" si="25"/>
        <v>-0.0158112473</v>
      </c>
      <c r="Z53" s="71">
        <f t="shared" si="25"/>
        <v>-0.0140978554</v>
      </c>
      <c r="AA53" s="71"/>
      <c r="AB53" s="71"/>
      <c r="AC53" s="50"/>
      <c r="AD53" s="71">
        <f>AD52/$D$1</f>
        <v>-0.0173322789</v>
      </c>
      <c r="AE53" s="71">
        <f t="shared" si="25"/>
        <v>-0.0139622804</v>
      </c>
      <c r="AF53" s="71">
        <f t="shared" si="25"/>
        <v>-0.0122252624</v>
      </c>
      <c r="AG53" s="71">
        <f t="shared" si="25"/>
        <v>-0.0134359274000001</v>
      </c>
      <c r="AH53" s="71">
        <f t="shared" si="25"/>
        <v>-0.00718294890000004</v>
      </c>
      <c r="AI53" s="71">
        <f t="shared" si="25"/>
        <v>0.000941287599999939</v>
      </c>
      <c r="AJ53" s="71">
        <f t="shared" si="25"/>
        <v>0.00778015559999996</v>
      </c>
      <c r="AK53" s="71">
        <f t="shared" si="25"/>
        <v>0.0156376265999999</v>
      </c>
      <c r="AL53" s="71">
        <f t="shared" si="25"/>
        <v>0.0117666731</v>
      </c>
      <c r="AM53" s="71">
        <f t="shared" si="25"/>
        <v>0.0280311720999999</v>
      </c>
      <c r="AN53" s="71">
        <f t="shared" si="25"/>
        <v>0.0276033525999999</v>
      </c>
      <c r="AO53" s="71">
        <f t="shared" si="25"/>
        <v>0.0201865280999999</v>
      </c>
      <c r="AP53" s="71">
        <f t="shared" si="25"/>
        <v>0.0268181581</v>
      </c>
      <c r="AQ53" s="71">
        <f t="shared" si="25"/>
        <v>0.0160192876</v>
      </c>
      <c r="AR53" s="71">
        <f t="shared" si="25"/>
        <v>0.00444815809999994</v>
      </c>
      <c r="AS53" s="71">
        <f t="shared" si="25"/>
        <v>0.00813209559999994</v>
      </c>
      <c r="AT53" s="71">
        <f t="shared" si="25"/>
        <v>0.0120331850999999</v>
      </c>
      <c r="AU53" s="71">
        <f t="shared" si="25"/>
        <v>0.00305716659999994</v>
      </c>
      <c r="AV53" s="71">
        <f t="shared" si="25"/>
        <v>0.00461329709999994</v>
      </c>
      <c r="AW53" s="71">
        <f t="shared" si="25"/>
        <v>0.000396710099999943</v>
      </c>
      <c r="AX53" s="71">
        <f t="shared" si="25"/>
        <v>0.0107869935999999</v>
      </c>
      <c r="AY53" s="71">
        <f t="shared" si="25"/>
        <v>0.00512397409999993</v>
      </c>
      <c r="AZ53" s="71">
        <f t="shared" ref="AZ53:CK53" si="26">AZ52/$D$1</f>
        <v>0.00534722509999994</v>
      </c>
      <c r="BA53" s="71">
        <f t="shared" si="26"/>
        <v>0.0132544215999999</v>
      </c>
      <c r="BB53" s="71">
        <f t="shared" si="26"/>
        <v>0.0124357300999999</v>
      </c>
      <c r="BC53" s="71">
        <f t="shared" si="26"/>
        <v>0.0137251105999999</v>
      </c>
      <c r="BD53" s="71">
        <f t="shared" si="26"/>
        <v>0.0209321975999999</v>
      </c>
      <c r="BE53" s="71">
        <f t="shared" si="26"/>
        <v>0.0210688390999999</v>
      </c>
      <c r="BF53" s="71">
        <f t="shared" si="26"/>
        <v>0.0307723600999999</v>
      </c>
      <c r="BG53" s="71">
        <f t="shared" si="26"/>
        <v>0.0245157475999999</v>
      </c>
      <c r="BH53" s="71">
        <f t="shared" si="26"/>
        <v>0.0233863800999999</v>
      </c>
      <c r="BI53" s="71">
        <f t="shared" si="26"/>
        <v>0.0327277136</v>
      </c>
      <c r="BJ53" s="71">
        <f t="shared" si="26"/>
        <v>0.0302172990999999</v>
      </c>
      <c r="BK53" s="71">
        <f t="shared" si="26"/>
        <v>0.0259213100999999</v>
      </c>
      <c r="BL53" s="71">
        <f t="shared" si="26"/>
        <v>0.0340771086</v>
      </c>
      <c r="BM53" s="71">
        <f t="shared" si="26"/>
        <v>0.0288715531</v>
      </c>
      <c r="BN53" s="71">
        <f t="shared" si="26"/>
        <v>0.0241783326</v>
      </c>
      <c r="BO53" s="71">
        <f t="shared" si="26"/>
        <v>0.0352708010999999</v>
      </c>
      <c r="BP53" s="71">
        <f t="shared" si="26"/>
        <v>0.0391502380999999</v>
      </c>
      <c r="BQ53" s="71">
        <f t="shared" si="26"/>
        <v>0.0395918250999999</v>
      </c>
      <c r="BR53" s="71">
        <f t="shared" si="26"/>
        <v>0.0544971746</v>
      </c>
      <c r="BS53" s="71">
        <f t="shared" si="26"/>
        <v>0.0682297905999999</v>
      </c>
      <c r="BT53" s="71">
        <f t="shared" si="26"/>
        <v>0.0765302766</v>
      </c>
      <c r="BU53" s="71">
        <f t="shared" si="26"/>
        <v>0.0652090001</v>
      </c>
      <c r="BV53" s="71">
        <f t="shared" si="26"/>
        <v>0.0697764685999999</v>
      </c>
      <c r="BW53" s="71">
        <f t="shared" si="26"/>
        <v>0.0838709716</v>
      </c>
      <c r="BX53" s="71">
        <f t="shared" si="26"/>
        <v>0.0782802366</v>
      </c>
      <c r="BY53" s="71">
        <f t="shared" si="26"/>
        <v>0.0580818755999999</v>
      </c>
      <c r="BZ53" s="71">
        <f t="shared" si="26"/>
        <v>0.0608374075999999</v>
      </c>
      <c r="CA53" s="71">
        <f t="shared" si="26"/>
        <v>0.0547666560999999</v>
      </c>
      <c r="CB53" s="71">
        <f t="shared" si="26"/>
        <v>0.0778430016</v>
      </c>
      <c r="CC53" s="71">
        <f t="shared" si="26"/>
        <v>0.0916821681</v>
      </c>
      <c r="CD53" s="71">
        <f t="shared" si="26"/>
        <v>0.0959307906</v>
      </c>
      <c r="CE53" s="71">
        <f t="shared" si="26"/>
        <v>0.1071713906</v>
      </c>
      <c r="CF53" s="71">
        <f t="shared" si="26"/>
        <v>0.1146244051</v>
      </c>
      <c r="CG53" s="71">
        <f t="shared" si="26"/>
        <v>0.1071133986</v>
      </c>
      <c r="CH53" s="71">
        <f t="shared" si="26"/>
        <v>0.1102265776</v>
      </c>
      <c r="CI53" s="71">
        <f t="shared" si="26"/>
        <v>0.1110322076</v>
      </c>
      <c r="CJ53" s="71">
        <f t="shared" si="26"/>
        <v>0.1122112571</v>
      </c>
      <c r="CK53" s="71">
        <f t="shared" si="26"/>
        <v>0.1110661416</v>
      </c>
    </row>
    <row r="54" spans="8:89">
      <c r="H54">
        <f>SUMPRODUCT((H5:H44),$F$5:$F$44)</f>
        <v>10047273.135</v>
      </c>
      <c r="I54">
        <f t="shared" ref="I54:Z54" si="27">SUMPRODUCT((I5:I44),$F$5:$F$44)</f>
        <v>9955471.402</v>
      </c>
      <c r="J54">
        <f t="shared" si="27"/>
        <v>9927120.928</v>
      </c>
      <c r="K54">
        <f t="shared" si="27"/>
        <v>9880902.37</v>
      </c>
      <c r="L54">
        <f t="shared" si="27"/>
        <v>9809389.555</v>
      </c>
      <c r="M54">
        <f t="shared" si="27"/>
        <v>9910537.671</v>
      </c>
      <c r="N54">
        <f t="shared" si="27"/>
        <v>9927363.846</v>
      </c>
      <c r="O54">
        <f t="shared" si="27"/>
        <v>9894254.88</v>
      </c>
      <c r="P54">
        <f t="shared" si="27"/>
        <v>9844605.457</v>
      </c>
      <c r="Q54">
        <f t="shared" si="27"/>
        <v>9941949.897</v>
      </c>
      <c r="R54">
        <f t="shared" si="27"/>
        <v>9876601.002</v>
      </c>
      <c r="S54">
        <f t="shared" si="27"/>
        <v>9926971.675</v>
      </c>
      <c r="T54">
        <f t="shared" si="27"/>
        <v>9834912.196</v>
      </c>
      <c r="U54">
        <f t="shared" si="27"/>
        <v>9903021.122</v>
      </c>
      <c r="V54">
        <f t="shared" si="27"/>
        <v>9856092.449</v>
      </c>
      <c r="W54">
        <f t="shared" si="27"/>
        <v>9762592.266</v>
      </c>
      <c r="X54">
        <f t="shared" si="27"/>
        <v>9459397.038</v>
      </c>
      <c r="Y54">
        <f t="shared" si="27"/>
        <v>9526182.769</v>
      </c>
      <c r="Z54">
        <f t="shared" si="27"/>
        <v>9529395.758</v>
      </c>
      <c r="AC54" s="50"/>
      <c r="AD54">
        <f>SUMPRODUCT((AD5:AD44),$AC$5:$AC$44)</f>
        <v>9866144.715</v>
      </c>
      <c r="AE54">
        <f t="shared" ref="AE54:AY54" si="28">SUMPRODUCT((AE5:AE44),$AC$5:$AC$44)</f>
        <v>9997164.6</v>
      </c>
      <c r="AF54">
        <f t="shared" si="28"/>
        <v>10058655.58</v>
      </c>
      <c r="AG54">
        <f t="shared" si="28"/>
        <v>9988280.13</v>
      </c>
      <c r="AH54">
        <f t="shared" si="28"/>
        <v>10050809.915</v>
      </c>
      <c r="AI54">
        <f t="shared" si="28"/>
        <v>10132052.28</v>
      </c>
      <c r="AJ54">
        <f t="shared" si="28"/>
        <v>10200440.96</v>
      </c>
      <c r="AK54">
        <f t="shared" si="28"/>
        <v>10279015.67</v>
      </c>
      <c r="AL54">
        <f t="shared" si="28"/>
        <v>10240306.135</v>
      </c>
      <c r="AM54">
        <f t="shared" si="28"/>
        <v>10402951.125</v>
      </c>
      <c r="AN54">
        <f t="shared" si="28"/>
        <v>10398672.93</v>
      </c>
      <c r="AO54">
        <f t="shared" si="28"/>
        <v>10324504.685</v>
      </c>
      <c r="AP54">
        <f t="shared" si="28"/>
        <v>10390820.985</v>
      </c>
      <c r="AQ54">
        <f t="shared" si="28"/>
        <v>10282832.28</v>
      </c>
      <c r="AR54">
        <f t="shared" si="28"/>
        <v>10167120.985</v>
      </c>
      <c r="AS54">
        <f t="shared" si="28"/>
        <v>10203960.36</v>
      </c>
      <c r="AT54">
        <f t="shared" si="28"/>
        <v>10242971.255</v>
      </c>
      <c r="AU54">
        <f t="shared" si="28"/>
        <v>10153211.07</v>
      </c>
      <c r="AV54">
        <f t="shared" si="28"/>
        <v>10168772.375</v>
      </c>
      <c r="AW54">
        <f t="shared" si="28"/>
        <v>10126606.505</v>
      </c>
      <c r="AX54">
        <f t="shared" si="28"/>
        <v>10230509.34</v>
      </c>
      <c r="AY54">
        <f t="shared" si="28"/>
        <v>10173879.145</v>
      </c>
      <c r="AZ54">
        <f t="shared" ref="AZ54:CK54" si="29">SUMPRODUCT((AZ5:AZ44),$AC$5:$AC$44)</f>
        <v>10176111.655</v>
      </c>
      <c r="BA54">
        <f t="shared" si="29"/>
        <v>10255183.62</v>
      </c>
      <c r="BB54">
        <f t="shared" si="29"/>
        <v>10246996.705</v>
      </c>
      <c r="BC54">
        <f t="shared" si="29"/>
        <v>10259890.51</v>
      </c>
      <c r="BD54">
        <f t="shared" si="29"/>
        <v>10331961.38</v>
      </c>
      <c r="BE54">
        <f t="shared" si="29"/>
        <v>10333327.795</v>
      </c>
      <c r="BF54">
        <f t="shared" si="29"/>
        <v>10430363.005</v>
      </c>
      <c r="BG54">
        <f t="shared" si="29"/>
        <v>10367796.88</v>
      </c>
      <c r="BH54">
        <f t="shared" si="29"/>
        <v>10356503.205</v>
      </c>
      <c r="BI54">
        <f t="shared" si="29"/>
        <v>10449916.54</v>
      </c>
      <c r="BJ54">
        <f t="shared" si="29"/>
        <v>10424812.395</v>
      </c>
      <c r="BK54">
        <f t="shared" si="29"/>
        <v>10381852.505</v>
      </c>
      <c r="BL54">
        <f t="shared" si="29"/>
        <v>10463410.49</v>
      </c>
      <c r="BM54">
        <f t="shared" si="29"/>
        <v>10411354.935</v>
      </c>
      <c r="BN54">
        <f t="shared" si="29"/>
        <v>10364422.73</v>
      </c>
      <c r="BO54">
        <f t="shared" si="29"/>
        <v>10475347.415</v>
      </c>
      <c r="BP54">
        <f t="shared" si="29"/>
        <v>10514141.785</v>
      </c>
      <c r="BQ54">
        <f t="shared" si="29"/>
        <v>10518557.655</v>
      </c>
      <c r="BR54">
        <f t="shared" si="29"/>
        <v>10667611.15</v>
      </c>
      <c r="BS54">
        <f t="shared" si="29"/>
        <v>10804937.31</v>
      </c>
      <c r="BT54">
        <f t="shared" si="29"/>
        <v>10887942.17</v>
      </c>
      <c r="BU54">
        <f t="shared" si="29"/>
        <v>10774729.405</v>
      </c>
      <c r="BV54">
        <f t="shared" si="29"/>
        <v>10820404.09</v>
      </c>
      <c r="BW54">
        <f t="shared" si="29"/>
        <v>10961349.12</v>
      </c>
      <c r="BX54">
        <f t="shared" si="29"/>
        <v>10905441.77</v>
      </c>
      <c r="BY54">
        <f t="shared" si="29"/>
        <v>10703458.16</v>
      </c>
      <c r="BZ54">
        <f t="shared" si="29"/>
        <v>10731013.48</v>
      </c>
      <c r="CA54">
        <f t="shared" si="29"/>
        <v>10670305.965</v>
      </c>
      <c r="CB54">
        <f t="shared" si="29"/>
        <v>10901069.42</v>
      </c>
      <c r="CC54">
        <f t="shared" si="29"/>
        <v>11039461.085</v>
      </c>
      <c r="CD54">
        <f t="shared" si="29"/>
        <v>11081947.31</v>
      </c>
      <c r="CE54">
        <f t="shared" si="29"/>
        <v>11194353.31</v>
      </c>
      <c r="CF54">
        <f t="shared" si="29"/>
        <v>11268883.455</v>
      </c>
      <c r="CG54">
        <f t="shared" si="29"/>
        <v>11193773.39</v>
      </c>
      <c r="CH54">
        <f t="shared" si="29"/>
        <v>11224905.18</v>
      </c>
      <c r="CI54">
        <f t="shared" si="29"/>
        <v>11232961.48</v>
      </c>
      <c r="CJ54">
        <f t="shared" si="29"/>
        <v>11244751.975</v>
      </c>
      <c r="CK54">
        <f t="shared" si="29"/>
        <v>11233300.82</v>
      </c>
    </row>
    <row r="55" spans="29:29">
      <c r="AC55" s="50"/>
    </row>
    <row r="56" spans="1:89">
      <c r="A56" t="s">
        <v>106</v>
      </c>
      <c r="G56" s="72">
        <v>0</v>
      </c>
      <c r="H56" s="52">
        <f>(H48-G48)*$F$48</f>
        <v>30189.51</v>
      </c>
      <c r="I56" s="52">
        <f t="shared" ref="I56:Z56" si="30">(I48-H48)*$F$48</f>
        <v>-92586.24</v>
      </c>
      <c r="J56" s="52">
        <f t="shared" si="30"/>
        <v>-26801.2799999999</v>
      </c>
      <c r="K56" s="52">
        <f t="shared" si="30"/>
        <v>-53247.24</v>
      </c>
      <c r="L56" s="52">
        <f t="shared" si="30"/>
        <v>-55988.2799999999</v>
      </c>
      <c r="M56" s="52">
        <f t="shared" si="30"/>
        <v>126785.79</v>
      </c>
      <c r="N56" s="52">
        <f t="shared" si="30"/>
        <v>850.230000000092</v>
      </c>
      <c r="O56" s="52">
        <f t="shared" si="30"/>
        <v>-31027.0499999998</v>
      </c>
      <c r="P56" s="52">
        <f t="shared" si="30"/>
        <v>-68284.8900000005</v>
      </c>
      <c r="Q56" s="52">
        <f t="shared" si="30"/>
        <v>134539.380000001</v>
      </c>
      <c r="R56" s="52">
        <f t="shared" si="30"/>
        <v>-40798.3500000007</v>
      </c>
      <c r="S56" s="52">
        <f t="shared" si="30"/>
        <v>20684.7000000002</v>
      </c>
      <c r="T56" s="52">
        <f t="shared" si="30"/>
        <v>-42765.2999999998</v>
      </c>
      <c r="U56" s="52">
        <f t="shared" si="30"/>
        <v>71673.1199999994</v>
      </c>
      <c r="V56" s="52">
        <f t="shared" si="30"/>
        <v>5837.40000000046</v>
      </c>
      <c r="W56" s="52">
        <f t="shared" si="30"/>
        <v>-114197.31</v>
      </c>
      <c r="X56" s="52">
        <f t="shared" si="30"/>
        <v>-286552.89</v>
      </c>
      <c r="Y56" s="52">
        <f t="shared" si="30"/>
        <v>108943.65</v>
      </c>
      <c r="Z56" s="52">
        <f t="shared" si="30"/>
        <v>-13920.9300000003</v>
      </c>
      <c r="AC56" s="50"/>
      <c r="AD56" s="52">
        <f>(AD48-Z48)*AC48</f>
        <v>18326.8999999997</v>
      </c>
      <c r="AE56" s="52">
        <f>(AE48-AD48)*$AC$48</f>
        <v>97319.9</v>
      </c>
      <c r="AF56" s="52">
        <f t="shared" ref="AF56:AY56" si="31">(AF48-AE48)*$AC$48</f>
        <v>44120.8000000004</v>
      </c>
      <c r="AG56" s="52">
        <f t="shared" si="31"/>
        <v>-58268.7999999994</v>
      </c>
      <c r="AH56" s="52">
        <f t="shared" si="31"/>
        <v>71918.9999999995</v>
      </c>
      <c r="AI56" s="52">
        <f t="shared" si="31"/>
        <v>67530.5000000002</v>
      </c>
      <c r="AJ56" s="52">
        <f t="shared" si="31"/>
        <v>85634.6999999999</v>
      </c>
      <c r="AK56" s="52">
        <f t="shared" si="31"/>
        <v>69574.0999999996</v>
      </c>
      <c r="AL56" s="52">
        <f t="shared" si="31"/>
        <v>-51613.9999999995</v>
      </c>
      <c r="AM56" s="52">
        <f t="shared" si="31"/>
        <v>124489.3</v>
      </c>
      <c r="AN56" s="52">
        <f t="shared" si="31"/>
        <v>-7925.50000000024</v>
      </c>
      <c r="AO56" s="52">
        <f t="shared" si="31"/>
        <v>-45509.3999999997</v>
      </c>
      <c r="AP56" s="52">
        <f t="shared" si="31"/>
        <v>41133.9999999995</v>
      </c>
      <c r="AQ56" s="52">
        <f t="shared" si="31"/>
        <v>-165911.5</v>
      </c>
      <c r="AR56" s="52">
        <f t="shared" si="31"/>
        <v>-174531.299999999</v>
      </c>
      <c r="AS56" s="52">
        <f t="shared" si="31"/>
        <v>44697.1999999999</v>
      </c>
      <c r="AT56" s="52">
        <f t="shared" si="31"/>
        <v>24457.7000000001</v>
      </c>
      <c r="AU56" s="52">
        <f t="shared" si="31"/>
        <v>-76897.000000001</v>
      </c>
      <c r="AV56" s="52">
        <f t="shared" si="31"/>
        <v>5240</v>
      </c>
      <c r="AW56" s="52">
        <f t="shared" si="31"/>
        <v>-70281.4999999995</v>
      </c>
      <c r="AX56" s="52">
        <f t="shared" si="31"/>
        <v>85752.6</v>
      </c>
      <c r="AY56" s="52">
        <f t="shared" si="31"/>
        <v>-27234.9</v>
      </c>
      <c r="AZ56" s="52">
        <f t="shared" ref="AZ56:CK56" si="32">(AZ48-AY48)*$AC$48</f>
        <v>-31623.4000000004</v>
      </c>
      <c r="BA56" s="52">
        <f t="shared" si="32"/>
        <v>78678.6000000005</v>
      </c>
      <c r="BB56" s="52">
        <f t="shared" si="32"/>
        <v>19060.5000000002</v>
      </c>
      <c r="BC56" s="52">
        <f t="shared" si="32"/>
        <v>15628.2999999992</v>
      </c>
      <c r="BD56" s="52">
        <f t="shared" si="32"/>
        <v>81482.000000001</v>
      </c>
      <c r="BE56" s="52">
        <f t="shared" si="32"/>
        <v>2253.19999999914</v>
      </c>
      <c r="BF56" s="52">
        <f t="shared" si="32"/>
        <v>93913.9000000007</v>
      </c>
      <c r="BG56" s="52">
        <f t="shared" si="32"/>
        <v>-103110.1</v>
      </c>
      <c r="BH56" s="52">
        <f t="shared" si="32"/>
        <v>-40924.4000000009</v>
      </c>
      <c r="BI56" s="52">
        <f t="shared" si="32"/>
        <v>88595.3000000001</v>
      </c>
      <c r="BJ56" s="52">
        <f t="shared" si="32"/>
        <v>-1336.19999999938</v>
      </c>
      <c r="BK56" s="52">
        <f t="shared" si="32"/>
        <v>-30758.8000000006</v>
      </c>
      <c r="BL56" s="52">
        <f t="shared" si="32"/>
        <v>54902.100000001</v>
      </c>
      <c r="BM56" s="52">
        <f t="shared" si="32"/>
        <v>-58386.7000000008</v>
      </c>
      <c r="BN56" s="52">
        <f t="shared" si="32"/>
        <v>-41959.2999999997</v>
      </c>
      <c r="BO56" s="52">
        <f t="shared" si="32"/>
        <v>98590.6000000003</v>
      </c>
      <c r="BP56" s="52">
        <f t="shared" si="32"/>
        <v>13348.8999999995</v>
      </c>
      <c r="BQ56" s="52">
        <f t="shared" si="32"/>
        <v>19741.6999999996</v>
      </c>
      <c r="BR56" s="52">
        <f t="shared" si="32"/>
        <v>93023.1000000003</v>
      </c>
      <c r="BS56" s="52">
        <f t="shared" si="32"/>
        <v>117480.8</v>
      </c>
      <c r="BT56" s="52">
        <f t="shared" si="32"/>
        <v>32632.0999999998</v>
      </c>
      <c r="BU56" s="52">
        <f t="shared" si="32"/>
        <v>-143785.6</v>
      </c>
      <c r="BV56" s="52">
        <f t="shared" si="32"/>
        <v>4021.70000000081</v>
      </c>
      <c r="BW56" s="52">
        <f t="shared" si="32"/>
        <v>111716.8</v>
      </c>
      <c r="BX56" s="52">
        <f t="shared" si="32"/>
        <v>-24588.7000000006</v>
      </c>
      <c r="BY56" s="52">
        <f t="shared" si="32"/>
        <v>-161601.6</v>
      </c>
      <c r="BZ56" s="52">
        <f t="shared" si="32"/>
        <v>21300.6000000003</v>
      </c>
      <c r="CA56" s="52">
        <f t="shared" si="32"/>
        <v>-19178.4000000004</v>
      </c>
      <c r="CB56" s="52">
        <f t="shared" si="32"/>
        <v>206167.8</v>
      </c>
      <c r="CC56" s="52">
        <f t="shared" si="32"/>
        <v>146182.9</v>
      </c>
      <c r="CD56" s="52">
        <f t="shared" si="32"/>
        <v>-18850.9000000004</v>
      </c>
      <c r="CE56" s="52">
        <f t="shared" si="32"/>
        <v>41749.6999999999</v>
      </c>
      <c r="CF56" s="52">
        <f t="shared" si="32"/>
        <v>69154.9000000011</v>
      </c>
      <c r="CG56" s="52">
        <f t="shared" si="32"/>
        <v>-68106.8999999997</v>
      </c>
      <c r="CH56" s="52">
        <f t="shared" si="32"/>
        <v>24772.0999999998</v>
      </c>
      <c r="CI56" s="52">
        <f t="shared" si="32"/>
        <v>-196.500000001906</v>
      </c>
      <c r="CJ56" s="52">
        <f t="shared" si="32"/>
        <v>17750.5000000014</v>
      </c>
      <c r="CK56" s="52">
        <f t="shared" si="32"/>
        <v>-29606.0000000005</v>
      </c>
    </row>
    <row r="57" spans="1:89">
      <c r="A57" t="s">
        <v>107</v>
      </c>
      <c r="G57" s="3">
        <f>G56/$E$48</f>
        <v>0</v>
      </c>
      <c r="H57" s="3">
        <f t="shared" ref="H57:Z57" si="33">H56/$E$48</f>
        <v>0.00301962566288335</v>
      </c>
      <c r="I57" s="3">
        <f t="shared" si="33"/>
        <v>-0.00926069307961201</v>
      </c>
      <c r="J57" s="3">
        <f t="shared" si="33"/>
        <v>-0.0026807269440982</v>
      </c>
      <c r="K57" s="3">
        <f t="shared" si="33"/>
        <v>-0.00532591394764967</v>
      </c>
      <c r="L57" s="3">
        <f t="shared" si="33"/>
        <v>-0.00560007920329606</v>
      </c>
      <c r="M57" s="3">
        <f t="shared" si="33"/>
        <v>0.0126814123572373</v>
      </c>
      <c r="N57" s="3">
        <f t="shared" si="33"/>
        <v>8.5042000594034e-5</v>
      </c>
      <c r="O57" s="3">
        <f t="shared" si="33"/>
        <v>-0.0031033983798864</v>
      </c>
      <c r="P57" s="3">
        <f t="shared" si="33"/>
        <v>-0.0068300150029321</v>
      </c>
      <c r="Q57" s="3">
        <f t="shared" si="33"/>
        <v>0.0134569446313112</v>
      </c>
      <c r="R57" s="3">
        <f t="shared" si="33"/>
        <v>-0.0040807467449223</v>
      </c>
      <c r="S57" s="3">
        <f t="shared" si="33"/>
        <v>0.00206893225325764</v>
      </c>
      <c r="T57" s="3">
        <f t="shared" si="33"/>
        <v>-0.00427748570152032</v>
      </c>
      <c r="U57" s="3">
        <f t="shared" si="33"/>
        <v>0.00716891372171713</v>
      </c>
      <c r="V57" s="3">
        <f t="shared" si="33"/>
        <v>0.000583870451839619</v>
      </c>
      <c r="W57" s="3">
        <f t="shared" si="33"/>
        <v>-0.0114222830350094</v>
      </c>
      <c r="X57" s="3">
        <f t="shared" si="33"/>
        <v>-0.0286616927673683</v>
      </c>
      <c r="Y57" s="3">
        <f t="shared" si="33"/>
        <v>0.0108967996283538</v>
      </c>
      <c r="Z57" s="3">
        <f t="shared" si="33"/>
        <v>-0.00139240409927832</v>
      </c>
      <c r="AA57" s="4"/>
      <c r="AC57" s="50"/>
      <c r="AD57" s="3">
        <f>AD56/$AB$48</f>
        <v>0.00183268999917305</v>
      </c>
      <c r="AE57" s="3">
        <f>AE56/$AB$48</f>
        <v>0.00973198999560887</v>
      </c>
      <c r="AF57" s="3">
        <f t="shared" ref="AF57:AY57" si="34">AF56/$AB$48</f>
        <v>0.00441207999800928</v>
      </c>
      <c r="AG57" s="3">
        <f t="shared" si="34"/>
        <v>-0.00582687999737082</v>
      </c>
      <c r="AH57" s="3">
        <f t="shared" si="34"/>
        <v>0.00719189999675493</v>
      </c>
      <c r="AI57" s="3">
        <f t="shared" si="34"/>
        <v>0.00675304999695301</v>
      </c>
      <c r="AJ57" s="3">
        <f t="shared" si="34"/>
        <v>0.0085634699961361</v>
      </c>
      <c r="AK57" s="3">
        <f t="shared" si="34"/>
        <v>0.00695740999686074</v>
      </c>
      <c r="AL57" s="3">
        <f t="shared" si="34"/>
        <v>-0.0051613999976711</v>
      </c>
      <c r="AM57" s="3">
        <f t="shared" si="34"/>
        <v>0.0124489299943829</v>
      </c>
      <c r="AN57" s="3">
        <f t="shared" si="34"/>
        <v>-0.000792549999642421</v>
      </c>
      <c r="AO57" s="3">
        <f t="shared" si="34"/>
        <v>-0.00455093999794656</v>
      </c>
      <c r="AP57" s="3">
        <f t="shared" si="34"/>
        <v>0.00411339999814396</v>
      </c>
      <c r="AQ57" s="3">
        <f t="shared" si="34"/>
        <v>-0.0165911499925139</v>
      </c>
      <c r="AR57" s="3">
        <f t="shared" si="34"/>
        <v>-0.017453129992125</v>
      </c>
      <c r="AS57" s="3">
        <f t="shared" si="34"/>
        <v>0.00446971999798322</v>
      </c>
      <c r="AT57" s="3">
        <f t="shared" si="34"/>
        <v>0.00244576999889647</v>
      </c>
      <c r="AU57" s="3">
        <f t="shared" si="34"/>
        <v>-0.00768969999653046</v>
      </c>
      <c r="AV57" s="3">
        <f t="shared" si="34"/>
        <v>0.000523999999763568</v>
      </c>
      <c r="AW57" s="3">
        <f t="shared" si="34"/>
        <v>-0.00702814999682881</v>
      </c>
      <c r="AX57" s="3">
        <f t="shared" si="34"/>
        <v>0.0085752599961308</v>
      </c>
      <c r="AY57" s="3">
        <f t="shared" si="34"/>
        <v>-0.00272348999877114</v>
      </c>
      <c r="AZ57" s="3">
        <f t="shared" ref="AZ57:CK57" si="35">AZ56/$AB$48</f>
        <v>-0.00316233999857318</v>
      </c>
      <c r="BA57" s="3">
        <f t="shared" si="35"/>
        <v>0.00786785999645003</v>
      </c>
      <c r="BB57" s="3">
        <f t="shared" si="35"/>
        <v>0.00190604999914</v>
      </c>
      <c r="BC57" s="3">
        <f t="shared" si="35"/>
        <v>0.00156282999929476</v>
      </c>
      <c r="BD57" s="3">
        <f t="shared" si="35"/>
        <v>0.00814819999632358</v>
      </c>
      <c r="BE57" s="3">
        <f t="shared" si="35"/>
        <v>0.000225319999898249</v>
      </c>
      <c r="BF57" s="3">
        <f t="shared" si="35"/>
        <v>0.00939138999576262</v>
      </c>
      <c r="BG57" s="3">
        <f t="shared" si="35"/>
        <v>-0.0103110099953476</v>
      </c>
      <c r="BH57" s="3">
        <f t="shared" si="35"/>
        <v>-0.00409243999815356</v>
      </c>
      <c r="BI57" s="3">
        <f t="shared" si="35"/>
        <v>0.00885952999600255</v>
      </c>
      <c r="BJ57" s="3">
        <f t="shared" si="35"/>
        <v>-0.000133619999939648</v>
      </c>
      <c r="BK57" s="3">
        <f t="shared" si="35"/>
        <v>-0.00307587999861221</v>
      </c>
      <c r="BL57" s="3">
        <f t="shared" si="35"/>
        <v>0.00549020999752289</v>
      </c>
      <c r="BM57" s="3">
        <f t="shared" si="35"/>
        <v>-0.00583866999736564</v>
      </c>
      <c r="BN57" s="3">
        <f t="shared" si="35"/>
        <v>-0.00419592999810674</v>
      </c>
      <c r="BO57" s="3">
        <f t="shared" si="35"/>
        <v>0.00985905999555157</v>
      </c>
      <c r="BP57" s="3">
        <f t="shared" si="35"/>
        <v>0.00133488999939764</v>
      </c>
      <c r="BQ57" s="3">
        <f t="shared" si="35"/>
        <v>0.00197416999910921</v>
      </c>
      <c r="BR57" s="3">
        <f t="shared" si="35"/>
        <v>0.00930230999580278</v>
      </c>
      <c r="BS57" s="3">
        <f t="shared" si="35"/>
        <v>0.0117480799946992</v>
      </c>
      <c r="BT57" s="3">
        <f t="shared" si="35"/>
        <v>0.0032632099985276</v>
      </c>
      <c r="BU57" s="3">
        <f t="shared" si="35"/>
        <v>-0.0143785599935123</v>
      </c>
      <c r="BV57" s="3">
        <f t="shared" si="35"/>
        <v>0.00040216999981862</v>
      </c>
      <c r="BW57" s="3">
        <f t="shared" si="35"/>
        <v>0.0111716799949592</v>
      </c>
      <c r="BX57" s="3">
        <f t="shared" si="35"/>
        <v>-0.0024588699988906</v>
      </c>
      <c r="BY57" s="3">
        <f t="shared" si="35"/>
        <v>-0.0161601599927084</v>
      </c>
      <c r="BZ57" s="3">
        <f t="shared" si="35"/>
        <v>0.00213005999903893</v>
      </c>
      <c r="CA57" s="3">
        <f t="shared" si="35"/>
        <v>-0.0019178399991347</v>
      </c>
      <c r="CB57" s="3">
        <f t="shared" si="35"/>
        <v>0.0206167799906976</v>
      </c>
      <c r="CC57" s="3">
        <f t="shared" si="35"/>
        <v>0.0146182899934042</v>
      </c>
      <c r="CD57" s="3">
        <f t="shared" si="35"/>
        <v>-0.00188508999914948</v>
      </c>
      <c r="CE57" s="3">
        <f t="shared" si="35"/>
        <v>0.00417496999811622</v>
      </c>
      <c r="CF57" s="3">
        <f t="shared" si="35"/>
        <v>0.00691548999687981</v>
      </c>
      <c r="CG57" s="3">
        <f t="shared" si="35"/>
        <v>-0.00681068999692695</v>
      </c>
      <c r="CH57" s="3">
        <f t="shared" si="35"/>
        <v>0.00247720999888225</v>
      </c>
      <c r="CI57" s="3">
        <f t="shared" si="35"/>
        <v>-1.96499999913244e-5</v>
      </c>
      <c r="CJ57" s="3">
        <f t="shared" si="35"/>
        <v>0.00177504999919923</v>
      </c>
      <c r="CK57" s="3">
        <f t="shared" si="35"/>
        <v>-0.00296059999866421</v>
      </c>
    </row>
    <row r="58" spans="1:89">
      <c r="A58" t="s">
        <v>108</v>
      </c>
      <c r="G58" s="52">
        <f>G50</f>
        <v>0</v>
      </c>
      <c r="H58" s="52">
        <f>G58+H56</f>
        <v>30189.51</v>
      </c>
      <c r="I58" s="52">
        <f t="shared" ref="I58:Z58" si="36">H58+I56</f>
        <v>-62396.7300000001</v>
      </c>
      <c r="J58" s="52">
        <f t="shared" si="36"/>
        <v>-89198.01</v>
      </c>
      <c r="K58" s="52">
        <f t="shared" si="36"/>
        <v>-142445.25</v>
      </c>
      <c r="L58" s="52">
        <f t="shared" si="36"/>
        <v>-198433.53</v>
      </c>
      <c r="M58" s="52">
        <f t="shared" si="36"/>
        <v>-71647.74</v>
      </c>
      <c r="N58" s="52">
        <f t="shared" si="36"/>
        <v>-70797.5099999999</v>
      </c>
      <c r="O58" s="52">
        <f t="shared" si="36"/>
        <v>-101824.56</v>
      </c>
      <c r="P58" s="52">
        <f t="shared" si="36"/>
        <v>-170109.45</v>
      </c>
      <c r="Q58" s="52">
        <f t="shared" si="36"/>
        <v>-35570.0699999997</v>
      </c>
      <c r="R58" s="52">
        <f t="shared" si="36"/>
        <v>-76368.4200000003</v>
      </c>
      <c r="S58" s="52">
        <f t="shared" si="36"/>
        <v>-55683.7200000001</v>
      </c>
      <c r="T58" s="52">
        <f t="shared" si="36"/>
        <v>-98449.0199999999</v>
      </c>
      <c r="U58" s="52">
        <f t="shared" si="36"/>
        <v>-26775.9000000004</v>
      </c>
      <c r="V58" s="52">
        <f t="shared" si="36"/>
        <v>-20938.5</v>
      </c>
      <c r="W58" s="52">
        <f t="shared" si="36"/>
        <v>-135135.81</v>
      </c>
      <c r="X58" s="52">
        <f t="shared" si="36"/>
        <v>-421688.7</v>
      </c>
      <c r="Y58" s="52">
        <f t="shared" si="36"/>
        <v>-312745.05</v>
      </c>
      <c r="Z58" s="52">
        <f t="shared" si="36"/>
        <v>-326665.98</v>
      </c>
      <c r="AC58" s="50"/>
      <c r="AD58" s="52">
        <f>Z58+AD56</f>
        <v>-308339.08</v>
      </c>
      <c r="AE58" s="52">
        <f>AD58+AE56</f>
        <v>-211019.18</v>
      </c>
      <c r="AF58" s="52">
        <f>AE58+AF56</f>
        <v>-166898.38</v>
      </c>
      <c r="AG58" s="52">
        <f t="shared" ref="AG58:AY58" si="37">AF58+AG56</f>
        <v>-225167.179999999</v>
      </c>
      <c r="AH58" s="52">
        <f t="shared" si="37"/>
        <v>-153248.18</v>
      </c>
      <c r="AI58" s="52">
        <f t="shared" si="37"/>
        <v>-85717.6799999996</v>
      </c>
      <c r="AJ58" s="52">
        <f t="shared" si="37"/>
        <v>-82.9799999997922</v>
      </c>
      <c r="AK58" s="52">
        <f t="shared" si="37"/>
        <v>69491.1199999998</v>
      </c>
      <c r="AL58" s="52">
        <f t="shared" si="37"/>
        <v>17877.1200000003</v>
      </c>
      <c r="AM58" s="52">
        <f t="shared" si="37"/>
        <v>142366.42</v>
      </c>
      <c r="AN58" s="52">
        <f t="shared" si="37"/>
        <v>134440.92</v>
      </c>
      <c r="AO58" s="52">
        <f t="shared" si="37"/>
        <v>88931.52</v>
      </c>
      <c r="AP58" s="52">
        <f t="shared" si="37"/>
        <v>130065.519999999</v>
      </c>
      <c r="AQ58" s="52">
        <f t="shared" si="37"/>
        <v>-35845.98</v>
      </c>
      <c r="AR58" s="52">
        <f t="shared" si="37"/>
        <v>-210377.279999999</v>
      </c>
      <c r="AS58" s="52">
        <f t="shared" si="37"/>
        <v>-165680.08</v>
      </c>
      <c r="AT58" s="52">
        <f t="shared" si="37"/>
        <v>-141222.38</v>
      </c>
      <c r="AU58" s="52">
        <f t="shared" si="37"/>
        <v>-218119.38</v>
      </c>
      <c r="AV58" s="52">
        <f t="shared" si="37"/>
        <v>-212879.38</v>
      </c>
      <c r="AW58" s="52">
        <f t="shared" si="37"/>
        <v>-283160.88</v>
      </c>
      <c r="AX58" s="52">
        <f t="shared" si="37"/>
        <v>-197408.28</v>
      </c>
      <c r="AY58" s="52">
        <f t="shared" si="37"/>
        <v>-224643.18</v>
      </c>
      <c r="AZ58" s="52">
        <f t="shared" ref="AZ58:CK58" si="38">AY58+AZ56</f>
        <v>-256266.58</v>
      </c>
      <c r="BA58" s="52">
        <f t="shared" si="38"/>
        <v>-177587.98</v>
      </c>
      <c r="BB58" s="52">
        <f t="shared" si="38"/>
        <v>-158527.48</v>
      </c>
      <c r="BC58" s="52">
        <f t="shared" si="38"/>
        <v>-142899.18</v>
      </c>
      <c r="BD58" s="52">
        <f t="shared" si="38"/>
        <v>-61417.1799999994</v>
      </c>
      <c r="BE58" s="52">
        <f t="shared" si="38"/>
        <v>-59163.9800000003</v>
      </c>
      <c r="BF58" s="52">
        <f t="shared" si="38"/>
        <v>34749.9200000004</v>
      </c>
      <c r="BG58" s="52">
        <f t="shared" si="38"/>
        <v>-68360.1799999997</v>
      </c>
      <c r="BH58" s="52">
        <f t="shared" si="38"/>
        <v>-109284.580000001</v>
      </c>
      <c r="BI58" s="52">
        <f t="shared" si="38"/>
        <v>-20689.2800000004</v>
      </c>
      <c r="BJ58" s="52">
        <f t="shared" si="38"/>
        <v>-22025.4799999998</v>
      </c>
      <c r="BK58" s="52">
        <f t="shared" si="38"/>
        <v>-52784.2800000004</v>
      </c>
      <c r="BL58" s="52">
        <f t="shared" si="38"/>
        <v>2117.82000000055</v>
      </c>
      <c r="BM58" s="52">
        <f t="shared" si="38"/>
        <v>-56268.8800000003</v>
      </c>
      <c r="BN58" s="52">
        <f t="shared" si="38"/>
        <v>-98228.1799999999</v>
      </c>
      <c r="BO58" s="52">
        <f t="shared" si="38"/>
        <v>362.420000000347</v>
      </c>
      <c r="BP58" s="52">
        <f t="shared" si="38"/>
        <v>13711.3199999998</v>
      </c>
      <c r="BQ58" s="52">
        <f t="shared" si="38"/>
        <v>33453.0199999994</v>
      </c>
      <c r="BR58" s="52">
        <f t="shared" si="38"/>
        <v>126476.12</v>
      </c>
      <c r="BS58" s="52">
        <f t="shared" si="38"/>
        <v>243956.92</v>
      </c>
      <c r="BT58" s="52">
        <f t="shared" si="38"/>
        <v>276589.02</v>
      </c>
      <c r="BU58" s="52">
        <f t="shared" si="38"/>
        <v>132803.42</v>
      </c>
      <c r="BV58" s="52">
        <f t="shared" si="38"/>
        <v>136825.12</v>
      </c>
      <c r="BW58" s="52">
        <f t="shared" si="38"/>
        <v>248541.92</v>
      </c>
      <c r="BX58" s="52">
        <f t="shared" si="38"/>
        <v>223953.22</v>
      </c>
      <c r="BY58" s="52">
        <f t="shared" si="38"/>
        <v>62351.6199999999</v>
      </c>
      <c r="BZ58" s="52">
        <f t="shared" si="38"/>
        <v>83652.2200000002</v>
      </c>
      <c r="CA58" s="52">
        <f t="shared" si="38"/>
        <v>64473.8199999998</v>
      </c>
      <c r="CB58" s="52">
        <f t="shared" si="38"/>
        <v>270641.62</v>
      </c>
      <c r="CC58" s="52">
        <f t="shared" si="38"/>
        <v>416824.52</v>
      </c>
      <c r="CD58" s="52">
        <f t="shared" si="38"/>
        <v>397973.62</v>
      </c>
      <c r="CE58" s="52">
        <f t="shared" si="38"/>
        <v>439723.32</v>
      </c>
      <c r="CF58" s="52">
        <f t="shared" si="38"/>
        <v>508878.220000001</v>
      </c>
      <c r="CG58" s="52">
        <f t="shared" si="38"/>
        <v>440771.320000001</v>
      </c>
      <c r="CH58" s="52">
        <f t="shared" si="38"/>
        <v>465543.420000001</v>
      </c>
      <c r="CI58" s="52">
        <f t="shared" si="38"/>
        <v>465346.919999999</v>
      </c>
      <c r="CJ58" s="52">
        <f t="shared" si="38"/>
        <v>483097.42</v>
      </c>
      <c r="CK58" s="52">
        <f t="shared" si="38"/>
        <v>453491.42</v>
      </c>
    </row>
    <row r="59" spans="1:89">
      <c r="A59" t="s">
        <v>109</v>
      </c>
      <c r="G59" s="3">
        <f>G58/$E$46</f>
        <v>0</v>
      </c>
      <c r="H59" s="3">
        <f t="shared" ref="H59:Z59" si="39">H58/$E$46</f>
        <v>0.003018951</v>
      </c>
      <c r="I59" s="3">
        <f t="shared" si="39"/>
        <v>-0.00623967300000001</v>
      </c>
      <c r="J59" s="3">
        <f t="shared" si="39"/>
        <v>-0.00891980099999999</v>
      </c>
      <c r="K59" s="3">
        <f t="shared" si="39"/>
        <v>-0.014244525</v>
      </c>
      <c r="L59" s="3">
        <f t="shared" si="39"/>
        <v>-0.019843353</v>
      </c>
      <c r="M59" s="3">
        <f t="shared" si="39"/>
        <v>-0.007164774</v>
      </c>
      <c r="N59" s="3">
        <f t="shared" si="39"/>
        <v>-0.00707975099999999</v>
      </c>
      <c r="O59" s="3">
        <f t="shared" si="39"/>
        <v>-0.010182456</v>
      </c>
      <c r="P59" s="3">
        <f t="shared" si="39"/>
        <v>-0.017010945</v>
      </c>
      <c r="Q59" s="3">
        <f t="shared" si="39"/>
        <v>-0.00355700699999997</v>
      </c>
      <c r="R59" s="3">
        <f t="shared" si="39"/>
        <v>-0.00763684200000004</v>
      </c>
      <c r="S59" s="3">
        <f t="shared" si="39"/>
        <v>-0.00556837200000001</v>
      </c>
      <c r="T59" s="3">
        <f t="shared" si="39"/>
        <v>-0.00984490199999999</v>
      </c>
      <c r="U59" s="3">
        <f t="shared" si="39"/>
        <v>-0.00267759000000004</v>
      </c>
      <c r="V59" s="3">
        <f t="shared" si="39"/>
        <v>-0.00209385</v>
      </c>
      <c r="W59" s="3">
        <f t="shared" si="39"/>
        <v>-0.013513581</v>
      </c>
      <c r="X59" s="3">
        <f t="shared" si="39"/>
        <v>-0.04216887</v>
      </c>
      <c r="Y59" s="3">
        <f t="shared" si="39"/>
        <v>-0.031274505</v>
      </c>
      <c r="Z59" s="3">
        <f t="shared" si="39"/>
        <v>-0.032666598</v>
      </c>
      <c r="AC59" s="50"/>
      <c r="AD59" s="3">
        <f>AD58/$AB$48</f>
        <v>-0.0308339079860876</v>
      </c>
      <c r="AE59" s="3">
        <f t="shared" ref="AE59:AY59" si="40">AE58/$AB$48</f>
        <v>-0.0211019179904787</v>
      </c>
      <c r="AF59" s="3">
        <f t="shared" si="40"/>
        <v>-0.0166898379924695</v>
      </c>
      <c r="AG59" s="3">
        <f t="shared" si="40"/>
        <v>-0.0225167179898403</v>
      </c>
      <c r="AH59" s="3">
        <f t="shared" si="40"/>
        <v>-0.0153248179930853</v>
      </c>
      <c r="AI59" s="3">
        <f t="shared" si="40"/>
        <v>-0.00857176799613234</v>
      </c>
      <c r="AJ59" s="3">
        <f t="shared" si="40"/>
        <v>-8.29799999623512e-6</v>
      </c>
      <c r="AK59" s="3">
        <f t="shared" si="40"/>
        <v>0.0069491119968645</v>
      </c>
      <c r="AL59" s="3">
        <f t="shared" si="40"/>
        <v>0.0017877119991934</v>
      </c>
      <c r="AM59" s="3">
        <f t="shared" si="40"/>
        <v>0.0142366419935763</v>
      </c>
      <c r="AN59" s="3">
        <f t="shared" si="40"/>
        <v>0.0134440919939339</v>
      </c>
      <c r="AO59" s="3">
        <f t="shared" si="40"/>
        <v>0.00889315199598736</v>
      </c>
      <c r="AP59" s="3">
        <f t="shared" si="40"/>
        <v>0.0130065519941313</v>
      </c>
      <c r="AQ59" s="3">
        <f t="shared" si="40"/>
        <v>-0.00358459799838261</v>
      </c>
      <c r="AR59" s="3">
        <f t="shared" si="40"/>
        <v>-0.0210377279905076</v>
      </c>
      <c r="AS59" s="3">
        <f t="shared" si="40"/>
        <v>-0.0165680079925244</v>
      </c>
      <c r="AT59" s="3">
        <f t="shared" si="40"/>
        <v>-0.0141222379936279</v>
      </c>
      <c r="AU59" s="3">
        <f t="shared" si="40"/>
        <v>-0.0218119379901584</v>
      </c>
      <c r="AV59" s="3">
        <f t="shared" si="40"/>
        <v>-0.0212879379903948</v>
      </c>
      <c r="AW59" s="3">
        <f t="shared" si="40"/>
        <v>-0.0283160879872236</v>
      </c>
      <c r="AX59" s="3">
        <f t="shared" si="40"/>
        <v>-0.0197408279910928</v>
      </c>
      <c r="AY59" s="3">
        <f t="shared" si="40"/>
        <v>-0.022464317989864</v>
      </c>
      <c r="AZ59" s="3">
        <f t="shared" ref="AZ59:CK59" si="41">AZ58/$AB$48</f>
        <v>-0.0256266579884372</v>
      </c>
      <c r="BA59" s="3">
        <f t="shared" si="41"/>
        <v>-0.0177587979919871</v>
      </c>
      <c r="BB59" s="3">
        <f t="shared" si="41"/>
        <v>-0.0158527479928471</v>
      </c>
      <c r="BC59" s="3">
        <f t="shared" si="41"/>
        <v>-0.0142899179935524</v>
      </c>
      <c r="BD59" s="3">
        <f t="shared" si="41"/>
        <v>-0.00614171799722877</v>
      </c>
      <c r="BE59" s="3">
        <f t="shared" si="41"/>
        <v>-0.00591639799733052</v>
      </c>
      <c r="BF59" s="3">
        <f t="shared" si="41"/>
        <v>0.0034749919984321</v>
      </c>
      <c r="BG59" s="3">
        <f t="shared" si="41"/>
        <v>-0.00683601799691552</v>
      </c>
      <c r="BH59" s="3">
        <f t="shared" si="41"/>
        <v>-0.0109284579950691</v>
      </c>
      <c r="BI59" s="3">
        <f t="shared" si="41"/>
        <v>-0.00206892799906653</v>
      </c>
      <c r="BJ59" s="3">
        <f t="shared" si="41"/>
        <v>-0.00220254799900618</v>
      </c>
      <c r="BK59" s="3">
        <f t="shared" si="41"/>
        <v>-0.00527842799761839</v>
      </c>
      <c r="BL59" s="3">
        <f t="shared" si="41"/>
        <v>0.000211781999904498</v>
      </c>
      <c r="BM59" s="3">
        <f t="shared" si="41"/>
        <v>-0.00562688799746114</v>
      </c>
      <c r="BN59" s="3">
        <f t="shared" si="41"/>
        <v>-0.00982281799556789</v>
      </c>
      <c r="BO59" s="3">
        <f t="shared" si="41"/>
        <v>3.62419999836822e-5</v>
      </c>
      <c r="BP59" s="3">
        <f t="shared" si="41"/>
        <v>0.00137113199938132</v>
      </c>
      <c r="BQ59" s="3">
        <f t="shared" si="41"/>
        <v>0.00334530199849053</v>
      </c>
      <c r="BR59" s="3">
        <f t="shared" si="41"/>
        <v>0.0126476119942933</v>
      </c>
      <c r="BS59" s="3">
        <f t="shared" si="41"/>
        <v>0.0243956919889925</v>
      </c>
      <c r="BT59" s="3">
        <f t="shared" si="41"/>
        <v>0.0276589019875201</v>
      </c>
      <c r="BU59" s="3">
        <f t="shared" si="41"/>
        <v>0.0132803419940078</v>
      </c>
      <c r="BV59" s="3">
        <f t="shared" si="41"/>
        <v>0.0136825119938264</v>
      </c>
      <c r="BW59" s="3">
        <f t="shared" si="41"/>
        <v>0.0248541919887857</v>
      </c>
      <c r="BX59" s="3">
        <f t="shared" si="41"/>
        <v>0.0223953219898951</v>
      </c>
      <c r="BY59" s="3">
        <f t="shared" si="41"/>
        <v>0.00623516199718666</v>
      </c>
      <c r="BZ59" s="3">
        <f t="shared" si="41"/>
        <v>0.00836522199622559</v>
      </c>
      <c r="CA59" s="3">
        <f t="shared" si="41"/>
        <v>0.00644738199709089</v>
      </c>
      <c r="CB59" s="3">
        <f t="shared" si="41"/>
        <v>0.0270641619877885</v>
      </c>
      <c r="CC59" s="3">
        <f t="shared" si="41"/>
        <v>0.0416824519811927</v>
      </c>
      <c r="CD59" s="3">
        <f t="shared" si="41"/>
        <v>0.0397973619820432</v>
      </c>
      <c r="CE59" s="3">
        <f t="shared" si="41"/>
        <v>0.0439723319801594</v>
      </c>
      <c r="CF59" s="3">
        <f t="shared" si="41"/>
        <v>0.0508878219770392</v>
      </c>
      <c r="CG59" s="3">
        <f t="shared" si="41"/>
        <v>0.0440771319801123</v>
      </c>
      <c r="CH59" s="3">
        <f t="shared" si="41"/>
        <v>0.0465543419789945</v>
      </c>
      <c r="CI59" s="3">
        <f t="shared" si="41"/>
        <v>0.0465346919790032</v>
      </c>
      <c r="CJ59" s="3">
        <f t="shared" si="41"/>
        <v>0.0483097419782024</v>
      </c>
      <c r="CK59" s="3">
        <f t="shared" si="41"/>
        <v>0.0453491419795382</v>
      </c>
    </row>
    <row r="60" spans="29:29">
      <c r="AC60" s="50"/>
    </row>
    <row r="61" spans="29:29">
      <c r="AC61" s="50"/>
    </row>
    <row r="62" spans="1:89">
      <c r="A62" t="s">
        <v>110</v>
      </c>
      <c r="G62" s="52">
        <v>0</v>
      </c>
      <c r="H62" s="52" cm="1">
        <f t="array" ref="H62">SUMPRODUCT(H5:H44-G5:G44,$F$5:$F$44)</f>
        <v>50232.843</v>
      </c>
      <c r="I62" s="52" cm="1">
        <f t="array" ref="I62">SUMPRODUCT(I5:I44-H5:H44,$F$5:$F$44)</f>
        <v>-91801.733</v>
      </c>
      <c r="J62" s="52" cm="1">
        <f t="array" ref="J62">SUMPRODUCT(J5:J44-I5:I44,$F$5:$F$44)</f>
        <v>-28350.474</v>
      </c>
      <c r="K62" s="52" cm="1">
        <f t="array" ref="K62">SUMPRODUCT(K5:K44-J5:J44,$F$5:$F$44)</f>
        <v>-46218.5580000001</v>
      </c>
      <c r="L62" s="52" cm="1">
        <f t="array" ref="L62">SUMPRODUCT(L5:L44-K5:K44,$F$5:$F$44)</f>
        <v>-71512.8149999998</v>
      </c>
      <c r="M62" s="52" cm="1">
        <f t="array" ref="M62">SUMPRODUCT(M5:M44-L5:L44,$F$5:$F$44)</f>
        <v>101148.116</v>
      </c>
      <c r="N62" s="52" cm="1">
        <f t="array" ref="N62">SUMPRODUCT(N5:N44-M5:M44,$F$5:$F$44)</f>
        <v>16826.175</v>
      </c>
      <c r="O62" s="52" cm="1">
        <f t="array" ref="O62">SUMPRODUCT(O5:O44-N5:N44,$F$5:$F$44)</f>
        <v>-33108.966</v>
      </c>
      <c r="P62" s="52" cm="1">
        <f t="array" ref="P62">SUMPRODUCT(P5:P44-O5:O44,$F$5:$F$44)</f>
        <v>-49649.423</v>
      </c>
      <c r="Q62" s="52" cm="1">
        <f t="array" ref="Q62">SUMPRODUCT(Q5:Q44-P5:P44,$F$5:$F$44)</f>
        <v>97344.44</v>
      </c>
      <c r="R62" s="52" cm="1">
        <f t="array" ref="R62">SUMPRODUCT(R5:R44-Q5:Q44,$F$5:$F$44)</f>
        <v>-65348.895</v>
      </c>
      <c r="S62" s="52" cm="1">
        <f t="array" ref="S62">SUMPRODUCT(S5:S44-R5:R44,$F$5:$F$44)</f>
        <v>50370.673</v>
      </c>
      <c r="T62" s="52" cm="1">
        <f t="array" ref="T62">SUMPRODUCT(T5:T44-S5:S44,$F$5:$F$44)</f>
        <v>-92059.4790000001</v>
      </c>
      <c r="U62" s="52" cm="1">
        <f t="array" ref="U62">SUMPRODUCT(U5:U44-T5:T44,$F$5:$F$44)</f>
        <v>68108.926</v>
      </c>
      <c r="V62" s="52" cm="1">
        <f t="array" ref="V62">SUMPRODUCT(V5:V44-U5:U44,$F$5:$F$44)</f>
        <v>-46928.6729999999</v>
      </c>
      <c r="W62" s="52" cm="1">
        <f t="array" ref="W62">SUMPRODUCT(W5:W44-V5:V44,$F$5:$F$44)</f>
        <v>-93500.1830000001</v>
      </c>
      <c r="X62" s="52" cm="1">
        <f t="array" ref="X62">SUMPRODUCT(X5:X44-W5:W44,$F$5:$F$44)</f>
        <v>-303195.228</v>
      </c>
      <c r="Y62" s="52" cm="1">
        <f t="array" ref="Y62">SUMPRODUCT(Y5:Y44-X5:X44,$F$5:$F$44)</f>
        <v>66785.731</v>
      </c>
      <c r="Z62" s="52" cm="1">
        <f t="array" ref="Z62">SUMPRODUCT(Z5:Z44-Y5:Y44,$F$5:$F$44)</f>
        <v>3212.9889999999</v>
      </c>
      <c r="AC62" s="50"/>
      <c r="AD62" s="52" cm="1">
        <f t="array" ref="AD62">SUMPRODUCT(AD5:AD44-Z5:Z44,$AC$5:$AC$44)</f>
        <v>-14017.335</v>
      </c>
      <c r="AE62" s="52" cm="1">
        <f t="array" ref="AE62">SUMPRODUCT(AE5:AE44-AD5:AD44,$AC$5:$AC$44)</f>
        <v>131019.885</v>
      </c>
      <c r="AF62" s="52" cm="1">
        <f t="array" ref="AF62">SUMPRODUCT(AF5:AF44-AE5:AE44,$AC$5:$AC$44)</f>
        <v>61490.9800000001</v>
      </c>
      <c r="AG62" s="52" cm="1">
        <f t="array" ref="AG62">SUMPRODUCT(AG5:AG44-AF5:AF44,$AC$5:$AC$44)</f>
        <v>-70375.4500000002</v>
      </c>
      <c r="AH62" s="52" cm="1">
        <f t="array" ref="AH62">SUMPRODUCT(AH5:AH44-AG5:AG44,$AC$5:$AC$44)</f>
        <v>62529.7850000002</v>
      </c>
      <c r="AI62" s="52" cm="1">
        <f t="array" ref="AI62">SUMPRODUCT(AI5:AI44-AH5:AH44,$AC$5:$AC$44)</f>
        <v>81242.3649999998</v>
      </c>
      <c r="AJ62" s="52" cm="1">
        <f t="array" ref="AJ62">SUMPRODUCT(AJ5:AJ44-AI5:AI44,$AC$5:$AC$44)</f>
        <v>68388.6800000002</v>
      </c>
      <c r="AK62" s="52" cm="1">
        <f t="array" ref="AK62">SUMPRODUCT(AK5:AK44-AJ5:AJ44,$AC$5:$AC$44)</f>
        <v>78574.7099999999</v>
      </c>
      <c r="AL62" s="52" cm="1">
        <f t="array" ref="AL62">SUMPRODUCT(AL5:AL44-AK5:AK44,$AC$5:$AC$44)</f>
        <v>-38709.5349999999</v>
      </c>
      <c r="AM62" s="52" cm="1">
        <f t="array" ref="AM62">SUMPRODUCT(AM5:AM44-AL5:AL44,$AC$5:$AC$44)</f>
        <v>162644.99</v>
      </c>
      <c r="AN62" s="52" cm="1">
        <f t="array" ref="AN62">SUMPRODUCT(AN5:AN44-AM5:AM44,$AC$5:$AC$44)</f>
        <v>-4278.19499999993</v>
      </c>
      <c r="AO62" s="52" cm="1">
        <f t="array" ref="AO62">SUMPRODUCT(AO5:AO44-AN5:AN44,$AC$5:$AC$44)</f>
        <v>-74168.245</v>
      </c>
      <c r="AP62" s="52" cm="1">
        <f t="array" ref="AP62">SUMPRODUCT(AP5:AP44-AO5:AO44,$AC$5:$AC$44)</f>
        <v>66316.3000000001</v>
      </c>
      <c r="AQ62" s="52" cm="1">
        <f t="array" ref="AQ62">SUMPRODUCT(AQ5:AQ44-AP5:AP44,$AC$5:$AC$44)</f>
        <v>-107988.705</v>
      </c>
      <c r="AR62" s="52" cm="1">
        <f t="array" ref="AR62">SUMPRODUCT(AR5:AR44-AQ5:AQ44,$AC$5:$AC$44)</f>
        <v>-115711.295</v>
      </c>
      <c r="AS62" s="52" cm="1">
        <f t="array" ref="AS62">SUMPRODUCT(AS5:AS44-AR5:AR44,$AC$5:$AC$44)</f>
        <v>36839.375</v>
      </c>
      <c r="AT62" s="52" cm="1">
        <f t="array" ref="AT62">SUMPRODUCT(AT5:AT44-AS5:AS44,$AC$5:$AC$44)</f>
        <v>39010.8950000001</v>
      </c>
      <c r="AU62" s="52" cm="1">
        <f t="array" ref="AU62">SUMPRODUCT(AU5:AU44-AT5:AT44,$AC$5:$AC$44)</f>
        <v>-89760.185</v>
      </c>
      <c r="AV62" s="52" cm="1">
        <f t="array" ref="AV62">SUMPRODUCT(AV5:AV44-AU5:AU44,$AC$5:$AC$44)</f>
        <v>15561.305</v>
      </c>
      <c r="AW62" s="52" cm="1">
        <f t="array" ref="AW62">SUMPRODUCT(AW5:AW44-AV5:AV44,$AC$5:$AC$44)</f>
        <v>-42165.87</v>
      </c>
      <c r="AX62" s="52" cm="1">
        <f t="array" ref="AX62">SUMPRODUCT(AX5:AX44-AW5:AW44,$AC$5:$AC$44)</f>
        <v>103902.835</v>
      </c>
      <c r="AY62" s="52" cm="1">
        <f t="array" ref="AY62">SUMPRODUCT(AY5:AY44-AX5:AX44,$AC$5:$AC$44)</f>
        <v>-56630.195</v>
      </c>
      <c r="AZ62" s="52" cm="1">
        <f t="array" ref="AZ62">SUMPRODUCT(AZ5:AZ44-AY5:AY44,$AC$5:$AC$44)</f>
        <v>2232.51000000005</v>
      </c>
      <c r="BA62" s="52" cm="1">
        <f t="array" ref="BA62">SUMPRODUCT(BA5:BA44-AZ5:AZ44,$AC$5:$AC$44)</f>
        <v>79071.9649999998</v>
      </c>
      <c r="BB62" s="52" cm="1">
        <f t="array" ref="BB62">SUMPRODUCT(BB5:BB44-BA5:BA44,$AC$5:$AC$44)</f>
        <v>-8186.91499999988</v>
      </c>
      <c r="BC62" s="52" cm="1">
        <f t="array" ref="BC62">SUMPRODUCT(BC5:BC44-BB5:BB44,$AC$5:$AC$44)</f>
        <v>12893.805</v>
      </c>
      <c r="BD62" s="52" cm="1">
        <f t="array" ref="BD62">SUMPRODUCT(BD5:BD44-BC5:BC44,$AC$5:$AC$44)</f>
        <v>72070.8700000001</v>
      </c>
      <c r="BE62" s="52" cm="1">
        <f t="array" ref="BE62">SUMPRODUCT(BE5:BE44-BD5:BD44,$AC$5:$AC$44)</f>
        <v>1366.41499999994</v>
      </c>
      <c r="BF62" s="52" cm="1">
        <f t="array" ref="BF62">SUMPRODUCT(BF5:BF44-BE5:BE44,$AC$5:$AC$44)</f>
        <v>97035.2100000001</v>
      </c>
      <c r="BG62" s="52" cm="1">
        <f t="array" ref="BG62">SUMPRODUCT(BG5:BG44-BF5:BF44,$AC$5:$AC$44)</f>
        <v>-62566.125</v>
      </c>
      <c r="BH62" s="52" cm="1">
        <f t="array" ref="BH62">SUMPRODUCT(BH5:BH44-BG5:BG44,$AC$5:$AC$44)</f>
        <v>-11293.6750000003</v>
      </c>
      <c r="BI62" s="52" cm="1">
        <f t="array" ref="BI62">SUMPRODUCT(BI5:BI44-BH5:BH44,$AC$5:$AC$44)</f>
        <v>93413.3350000003</v>
      </c>
      <c r="BJ62" s="52" cm="1">
        <f t="array" ref="BJ62">SUMPRODUCT(BJ5:BJ44-BI5:BI44,$AC$5:$AC$44)</f>
        <v>-25104.1450000001</v>
      </c>
      <c r="BK62" s="52" cm="1">
        <f t="array" ref="BK62">SUMPRODUCT(BK5:BK44-BJ5:BJ44,$AC$5:$AC$44)</f>
        <v>-42959.8900000002</v>
      </c>
      <c r="BL62" s="52" cm="1">
        <f t="array" ref="BL62">SUMPRODUCT(BL5:BL44-BK5:BK44,$AC$5:$AC$44)</f>
        <v>81557.9850000003</v>
      </c>
      <c r="BM62" s="52" cm="1">
        <f t="array" ref="BM62">SUMPRODUCT(BM5:BM44-BL5:BL44,$AC$5:$AC$44)</f>
        <v>-52055.555</v>
      </c>
      <c r="BN62" s="52" cm="1">
        <f t="array" ref="BN62">SUMPRODUCT(BN5:BN44-BM5:BM44,$AC$5:$AC$44)</f>
        <v>-46932.2049999998</v>
      </c>
      <c r="BO62" s="52" cm="1">
        <f t="array" ref="BO62">SUMPRODUCT(BO5:BO44-BN5:BN44,$AC$5:$AC$44)</f>
        <v>110924.685</v>
      </c>
      <c r="BP62" s="52" cm="1">
        <f t="array" ref="BP62">SUMPRODUCT(BP5:BP44-BO5:BO44,$AC$5:$AC$44)</f>
        <v>38794.37</v>
      </c>
      <c r="BQ62" s="52" cm="1">
        <f t="array" ref="BQ62">SUMPRODUCT(BQ5:BQ44-BP5:BP44,$AC$5:$AC$44)</f>
        <v>4415.87000000007</v>
      </c>
      <c r="BR62" s="52" cm="1">
        <f t="array" ref="BR62">SUMPRODUCT(BR5:BR44-BQ5:BQ44,$AC$5:$AC$44)</f>
        <v>149053.495</v>
      </c>
      <c r="BS62" s="52" cm="1">
        <f t="array" ref="BS62">SUMPRODUCT(BS5:BS44-BR5:BR44,$AC$5:$AC$44)</f>
        <v>137326.16</v>
      </c>
      <c r="BT62" s="52" cm="1">
        <f t="array" ref="BT62">SUMPRODUCT(BT5:BT44-BS5:BS44,$AC$5:$AC$44)</f>
        <v>83004.8600000002</v>
      </c>
      <c r="BU62" s="52" cm="1">
        <f t="array" ref="BU62">SUMPRODUCT(BU5:BU44-BT5:BT44,$AC$5:$AC$44)</f>
        <v>-113212.765</v>
      </c>
      <c r="BV62" s="52" cm="1">
        <f t="array" ref="BV62">SUMPRODUCT(BV5:BV44-BU5:BU44,$AC$5:$AC$44)</f>
        <v>45674.6849999999</v>
      </c>
      <c r="BW62" s="52" cm="1">
        <f t="array" ref="BW62">SUMPRODUCT(BW5:BW44-BV5:BV44,$AC$5:$AC$44)</f>
        <v>140945.03</v>
      </c>
      <c r="BX62" s="52" cm="1">
        <f t="array" ref="BX62">SUMPRODUCT(BX5:BX44-BW5:BW44,$AC$5:$AC$44)</f>
        <v>-55907.35</v>
      </c>
      <c r="BY62" s="52" cm="1">
        <f t="array" ref="BY62">SUMPRODUCT(BY5:BY44-BX5:BX44,$AC$5:$AC$44)</f>
        <v>-201983.61</v>
      </c>
      <c r="BZ62" s="52" cm="1">
        <f t="array" ref="BZ62">SUMPRODUCT(BZ5:BZ44-BY5:BY44,$AC$5:$AC$44)</f>
        <v>27555.32</v>
      </c>
      <c r="CA62" s="52" cm="1">
        <f t="array" ref="CA62">SUMPRODUCT(CA5:CA44-BZ5:BZ44,$AC$5:$AC$44)</f>
        <v>-60707.5149999999</v>
      </c>
      <c r="CB62" s="52" cm="1">
        <f t="array" ref="CB62">SUMPRODUCT(CB5:CB44-CA5:CA44,$AC$5:$AC$44)</f>
        <v>230763.455</v>
      </c>
      <c r="CC62" s="52" cm="1">
        <f t="array" ref="CC62">SUMPRODUCT(CC5:CC44-CB5:CB44,$AC$5:$AC$44)</f>
        <v>138391.665</v>
      </c>
      <c r="CD62" s="52" cm="1">
        <f t="array" ref="CD62">SUMPRODUCT(CD5:CD44-CC5:CC44,$AC$5:$AC$44)</f>
        <v>42486.225</v>
      </c>
      <c r="CE62" s="52" cm="1">
        <f t="array" ref="CE62">SUMPRODUCT(CE5:CE44-CD5:CD44,$AC$5:$AC$44)</f>
        <v>112406</v>
      </c>
      <c r="CF62" s="52" cm="1">
        <f t="array" ref="CF62">SUMPRODUCT(CF5:CF44-CE5:CE44,$AC$5:$AC$44)</f>
        <v>74530.1450000001</v>
      </c>
      <c r="CG62" s="52" cm="1">
        <f t="array" ref="CG62">SUMPRODUCT(CG5:CG44-CF5:CF44,$AC$5:$AC$44)</f>
        <v>-75110.0649999999</v>
      </c>
      <c r="CH62" s="52" cm="1">
        <f t="array" ref="CH62">SUMPRODUCT(CH5:CH44-CG5:CG44,$AC$5:$AC$44)</f>
        <v>31131.7899999996</v>
      </c>
      <c r="CI62" s="52" cm="1">
        <f t="array" ref="CI62">SUMPRODUCT(CI5:CI44-CH5:CH44,$AC$5:$AC$44)</f>
        <v>8056.29999999996</v>
      </c>
      <c r="CJ62" s="52" cm="1">
        <f t="array" ref="CJ62">SUMPRODUCT(CJ5:CJ44-CI5:CI44,$AC$5:$AC$44)</f>
        <v>11790.4950000002</v>
      </c>
      <c r="CK62" s="52" cm="1">
        <f t="array" ref="CK62">SUMPRODUCT(CK5:CK44-CJ5:CJ44,$AC$5:$AC$44)</f>
        <v>-11451.155</v>
      </c>
    </row>
    <row r="63" spans="1:89">
      <c r="A63" t="s">
        <v>111</v>
      </c>
      <c r="G63" s="3">
        <f>G62/$D$1</f>
        <v>0</v>
      </c>
      <c r="H63" s="3">
        <f t="shared" ref="H63:Z63" si="42">H62/$D$1</f>
        <v>0.0050232843</v>
      </c>
      <c r="I63" s="3">
        <f t="shared" si="42"/>
        <v>-0.0091801733</v>
      </c>
      <c r="J63" s="3">
        <f t="shared" si="42"/>
        <v>-0.0028350474</v>
      </c>
      <c r="K63" s="3">
        <f t="shared" si="42"/>
        <v>-0.00462185580000001</v>
      </c>
      <c r="L63" s="3">
        <f t="shared" si="42"/>
        <v>-0.00715128149999998</v>
      </c>
      <c r="M63" s="3">
        <f t="shared" si="42"/>
        <v>0.0101148116</v>
      </c>
      <c r="N63" s="3">
        <f t="shared" si="42"/>
        <v>0.0016826175</v>
      </c>
      <c r="O63" s="3">
        <f t="shared" si="42"/>
        <v>-0.0033108966</v>
      </c>
      <c r="P63" s="3">
        <f t="shared" si="42"/>
        <v>-0.0049649423</v>
      </c>
      <c r="Q63" s="3">
        <f t="shared" si="42"/>
        <v>0.009734444</v>
      </c>
      <c r="R63" s="3">
        <f t="shared" si="42"/>
        <v>-0.0065348895</v>
      </c>
      <c r="S63" s="3">
        <f t="shared" si="42"/>
        <v>0.0050370673</v>
      </c>
      <c r="T63" s="3">
        <f t="shared" si="42"/>
        <v>-0.00920594790000001</v>
      </c>
      <c r="U63" s="3">
        <f t="shared" si="42"/>
        <v>0.0068108926</v>
      </c>
      <c r="V63" s="3">
        <f t="shared" si="42"/>
        <v>-0.00469286729999999</v>
      </c>
      <c r="W63" s="3">
        <f t="shared" si="42"/>
        <v>-0.00935001830000001</v>
      </c>
      <c r="X63" s="3">
        <f t="shared" si="42"/>
        <v>-0.0303195228</v>
      </c>
      <c r="Y63" s="3">
        <f t="shared" si="42"/>
        <v>0.0066785731</v>
      </c>
      <c r="Z63" s="3">
        <f t="shared" si="42"/>
        <v>0.00032129889999999</v>
      </c>
      <c r="AC63" s="50"/>
      <c r="AD63" s="3">
        <f>AD62/$D$1</f>
        <v>-0.0014017335</v>
      </c>
      <c r="AE63" s="3">
        <f t="shared" ref="AE63" si="43">AE62/$D$1</f>
        <v>0.0131019885</v>
      </c>
      <c r="AF63" s="3">
        <f t="shared" ref="AF63" si="44">AF62/$D$1</f>
        <v>0.00614909800000001</v>
      </c>
      <c r="AG63" s="3">
        <f t="shared" ref="AG63" si="45">AG62/$D$1</f>
        <v>-0.00703754500000002</v>
      </c>
      <c r="AH63" s="3">
        <f t="shared" ref="AH63" si="46">AH62/$D$1</f>
        <v>0.00625297850000002</v>
      </c>
      <c r="AI63" s="3">
        <f t="shared" ref="AI63" si="47">AI62/$D$1</f>
        <v>0.00812423649999998</v>
      </c>
      <c r="AJ63" s="3">
        <f t="shared" ref="AJ63" si="48">AJ62/$D$1</f>
        <v>0.00683886800000002</v>
      </c>
      <c r="AK63" s="3">
        <f t="shared" ref="AK63" si="49">AK62/$D$1</f>
        <v>0.00785747099999999</v>
      </c>
      <c r="AL63" s="3">
        <f t="shared" ref="AL63" si="50">AL62/$D$1</f>
        <v>-0.00387095349999999</v>
      </c>
      <c r="AM63" s="3">
        <f t="shared" ref="AM63" si="51">AM62/$D$1</f>
        <v>0.016264499</v>
      </c>
      <c r="AN63" s="3">
        <f t="shared" ref="AN63" si="52">AN62/$D$1</f>
        <v>-0.000427819499999992</v>
      </c>
      <c r="AO63" s="3">
        <f t="shared" ref="AO63" si="53">AO62/$D$1</f>
        <v>-0.0074168245</v>
      </c>
      <c r="AP63" s="3">
        <f t="shared" ref="AP63" si="54">AP62/$D$1</f>
        <v>0.00663163000000001</v>
      </c>
      <c r="AQ63" s="3">
        <f t="shared" ref="AQ63" si="55">AQ62/$D$1</f>
        <v>-0.0107988705</v>
      </c>
      <c r="AR63" s="3">
        <f t="shared" ref="AR63" si="56">AR62/$D$1</f>
        <v>-0.0115711295</v>
      </c>
      <c r="AS63" s="3">
        <f t="shared" ref="AS63" si="57">AS62/$D$1</f>
        <v>0.0036839375</v>
      </c>
      <c r="AT63" s="3">
        <f t="shared" ref="AT63" si="58">AT62/$D$1</f>
        <v>0.00390108950000001</v>
      </c>
      <c r="AU63" s="3">
        <f t="shared" ref="AU63" si="59">AU62/$D$1</f>
        <v>-0.0089760185</v>
      </c>
      <c r="AV63" s="3">
        <f t="shared" ref="AV63" si="60">AV62/$D$1</f>
        <v>0.0015561305</v>
      </c>
      <c r="AW63" s="3">
        <f t="shared" ref="AW63" si="61">AW62/$D$1</f>
        <v>-0.00421658699999999</v>
      </c>
      <c r="AX63" s="3">
        <f t="shared" ref="AX63" si="62">AX62/$D$1</f>
        <v>0.0103902835</v>
      </c>
      <c r="AY63" s="3">
        <f t="shared" ref="AY63" si="63">AY62/$D$1</f>
        <v>-0.0056630195</v>
      </c>
      <c r="AZ63" s="3">
        <f t="shared" ref="AZ63:CK63" si="64">AZ62/$D$1</f>
        <v>0.000223251000000005</v>
      </c>
      <c r="BA63" s="3">
        <f t="shared" si="64"/>
        <v>0.00790719649999998</v>
      </c>
      <c r="BB63" s="3">
        <f t="shared" si="64"/>
        <v>-0.000818691499999988</v>
      </c>
      <c r="BC63" s="3">
        <f t="shared" si="64"/>
        <v>0.0012893805</v>
      </c>
      <c r="BD63" s="3">
        <f t="shared" si="64"/>
        <v>0.00720708700000001</v>
      </c>
      <c r="BE63" s="3">
        <f t="shared" si="64"/>
        <v>0.000136641499999994</v>
      </c>
      <c r="BF63" s="3">
        <f t="shared" si="64"/>
        <v>0.00970352100000001</v>
      </c>
      <c r="BG63" s="3">
        <f t="shared" si="64"/>
        <v>-0.0062566125</v>
      </c>
      <c r="BH63" s="3">
        <f t="shared" si="64"/>
        <v>-0.00112936750000003</v>
      </c>
      <c r="BI63" s="3">
        <f t="shared" si="64"/>
        <v>0.00934133350000003</v>
      </c>
      <c r="BJ63" s="3">
        <f t="shared" si="64"/>
        <v>-0.00251041450000001</v>
      </c>
      <c r="BK63" s="3">
        <f t="shared" si="64"/>
        <v>-0.00429598900000002</v>
      </c>
      <c r="BL63" s="3">
        <f t="shared" si="64"/>
        <v>0.00815579850000003</v>
      </c>
      <c r="BM63" s="3">
        <f t="shared" si="64"/>
        <v>-0.0052055555</v>
      </c>
      <c r="BN63" s="3">
        <f t="shared" si="64"/>
        <v>-0.00469322049999998</v>
      </c>
      <c r="BO63" s="3">
        <f t="shared" si="64"/>
        <v>0.0110924685</v>
      </c>
      <c r="BP63" s="3">
        <f t="shared" si="64"/>
        <v>0.003879437</v>
      </c>
      <c r="BQ63" s="3">
        <f t="shared" si="64"/>
        <v>0.000441587000000007</v>
      </c>
      <c r="BR63" s="3">
        <f t="shared" si="64"/>
        <v>0.0149053495</v>
      </c>
      <c r="BS63" s="3">
        <f t="shared" si="64"/>
        <v>0.013732616</v>
      </c>
      <c r="BT63" s="3">
        <f t="shared" si="64"/>
        <v>0.00830048600000002</v>
      </c>
      <c r="BU63" s="3">
        <f t="shared" si="64"/>
        <v>-0.0113212765</v>
      </c>
      <c r="BV63" s="3">
        <f t="shared" si="64"/>
        <v>0.00456746849999999</v>
      </c>
      <c r="BW63" s="3">
        <f t="shared" si="64"/>
        <v>0.014094503</v>
      </c>
      <c r="BX63" s="3">
        <f t="shared" si="64"/>
        <v>-0.005590735</v>
      </c>
      <c r="BY63" s="3">
        <f t="shared" si="64"/>
        <v>-0.020198361</v>
      </c>
      <c r="BZ63" s="3">
        <f t="shared" si="64"/>
        <v>0.002755532</v>
      </c>
      <c r="CA63" s="3">
        <f t="shared" si="64"/>
        <v>-0.00607075149999999</v>
      </c>
      <c r="CB63" s="3">
        <f t="shared" si="64"/>
        <v>0.0230763455</v>
      </c>
      <c r="CC63" s="3">
        <f t="shared" si="64"/>
        <v>0.0138391665</v>
      </c>
      <c r="CD63" s="3">
        <f t="shared" si="64"/>
        <v>0.0042486225</v>
      </c>
      <c r="CE63" s="3">
        <f t="shared" si="64"/>
        <v>0.0112406</v>
      </c>
      <c r="CF63" s="3">
        <f t="shared" si="64"/>
        <v>0.00745301450000001</v>
      </c>
      <c r="CG63" s="3">
        <f t="shared" si="64"/>
        <v>-0.00751100649999999</v>
      </c>
      <c r="CH63" s="3">
        <f t="shared" si="64"/>
        <v>0.00311317899999996</v>
      </c>
      <c r="CI63" s="3">
        <f t="shared" si="64"/>
        <v>0.000805629999999996</v>
      </c>
      <c r="CJ63" s="3">
        <f t="shared" si="64"/>
        <v>0.00117904950000002</v>
      </c>
      <c r="CK63" s="3">
        <f t="shared" si="64"/>
        <v>-0.0011451155</v>
      </c>
    </row>
    <row r="64" spans="1:89">
      <c r="A64" t="s">
        <v>112</v>
      </c>
      <c r="G64" s="52">
        <f>G62</f>
        <v>0</v>
      </c>
      <c r="H64" s="52">
        <f>G64+H62</f>
        <v>50232.843</v>
      </c>
      <c r="I64" s="52">
        <f t="shared" ref="I64:Z64" si="65">H64+I62</f>
        <v>-41568.8900000001</v>
      </c>
      <c r="J64" s="52">
        <f t="shared" si="65"/>
        <v>-69919.3640000001</v>
      </c>
      <c r="K64" s="52">
        <f t="shared" si="65"/>
        <v>-116137.922</v>
      </c>
      <c r="L64" s="52">
        <f t="shared" si="65"/>
        <v>-187650.737</v>
      </c>
      <c r="M64" s="52">
        <f t="shared" si="65"/>
        <v>-86502.621</v>
      </c>
      <c r="N64" s="52">
        <f t="shared" si="65"/>
        <v>-69676.446</v>
      </c>
      <c r="O64" s="52">
        <f t="shared" si="65"/>
        <v>-102785.412</v>
      </c>
      <c r="P64" s="52">
        <f t="shared" si="65"/>
        <v>-152434.835</v>
      </c>
      <c r="Q64" s="52">
        <f t="shared" si="65"/>
        <v>-55090.395</v>
      </c>
      <c r="R64" s="52">
        <f t="shared" si="65"/>
        <v>-120439.29</v>
      </c>
      <c r="S64" s="52">
        <f t="shared" si="65"/>
        <v>-70068.6169999999</v>
      </c>
      <c r="T64" s="52">
        <f t="shared" si="65"/>
        <v>-162128.096</v>
      </c>
      <c r="U64" s="52">
        <f t="shared" si="65"/>
        <v>-94019.1700000001</v>
      </c>
      <c r="V64" s="52">
        <f t="shared" si="65"/>
        <v>-140947.843</v>
      </c>
      <c r="W64" s="52">
        <f t="shared" si="65"/>
        <v>-234448.026</v>
      </c>
      <c r="X64" s="52">
        <f t="shared" si="65"/>
        <v>-537643.254</v>
      </c>
      <c r="Y64" s="52">
        <f t="shared" si="65"/>
        <v>-470857.523</v>
      </c>
      <c r="Z64" s="52">
        <f t="shared" si="65"/>
        <v>-467644.534</v>
      </c>
      <c r="AC64" s="50"/>
      <c r="AD64" s="52">
        <f>Z64+AD62</f>
        <v>-481661.869</v>
      </c>
      <c r="AE64" s="52">
        <f t="shared" ref="AE64:AY64" si="66">AD64+AE62</f>
        <v>-350641.984</v>
      </c>
      <c r="AF64" s="52">
        <f t="shared" si="66"/>
        <v>-289151.004</v>
      </c>
      <c r="AG64" s="52">
        <f t="shared" si="66"/>
        <v>-359526.454</v>
      </c>
      <c r="AH64" s="52">
        <f t="shared" si="66"/>
        <v>-296996.669</v>
      </c>
      <c r="AI64" s="52">
        <f t="shared" si="66"/>
        <v>-215754.304</v>
      </c>
      <c r="AJ64" s="52">
        <f t="shared" si="66"/>
        <v>-147365.624</v>
      </c>
      <c r="AK64" s="52">
        <f t="shared" si="66"/>
        <v>-68790.914</v>
      </c>
      <c r="AL64" s="52">
        <f t="shared" si="66"/>
        <v>-107500.449</v>
      </c>
      <c r="AM64" s="52">
        <f t="shared" si="66"/>
        <v>55144.5409999999</v>
      </c>
      <c r="AN64" s="52">
        <f t="shared" si="66"/>
        <v>50866.346</v>
      </c>
      <c r="AO64" s="52">
        <f t="shared" si="66"/>
        <v>-23301.899</v>
      </c>
      <c r="AP64" s="52">
        <f t="shared" si="66"/>
        <v>43014.4010000001</v>
      </c>
      <c r="AQ64" s="52">
        <f t="shared" si="66"/>
        <v>-64974.3039999999</v>
      </c>
      <c r="AR64" s="52">
        <f t="shared" si="66"/>
        <v>-180685.599</v>
      </c>
      <c r="AS64" s="52">
        <f t="shared" si="66"/>
        <v>-143846.224</v>
      </c>
      <c r="AT64" s="52">
        <f t="shared" si="66"/>
        <v>-104835.329</v>
      </c>
      <c r="AU64" s="52">
        <f t="shared" si="66"/>
        <v>-194595.514</v>
      </c>
      <c r="AV64" s="52">
        <f t="shared" si="66"/>
        <v>-179034.209</v>
      </c>
      <c r="AW64" s="52">
        <f t="shared" si="66"/>
        <v>-221200.079</v>
      </c>
      <c r="AX64" s="52">
        <f t="shared" si="66"/>
        <v>-117297.244</v>
      </c>
      <c r="AY64" s="52">
        <f t="shared" si="66"/>
        <v>-173927.439</v>
      </c>
      <c r="AZ64" s="52">
        <f t="shared" ref="AZ64:CK64" si="67">AY64+AZ62</f>
        <v>-171694.929</v>
      </c>
      <c r="BA64" s="52">
        <f t="shared" si="67"/>
        <v>-92622.9640000003</v>
      </c>
      <c r="BB64" s="52">
        <f t="shared" si="67"/>
        <v>-100809.879</v>
      </c>
      <c r="BC64" s="52">
        <f t="shared" si="67"/>
        <v>-87916.0740000001</v>
      </c>
      <c r="BD64" s="52">
        <f t="shared" si="67"/>
        <v>-15845.2040000001</v>
      </c>
      <c r="BE64" s="52">
        <f t="shared" si="67"/>
        <v>-14478.7890000001</v>
      </c>
      <c r="BF64" s="52">
        <f t="shared" si="67"/>
        <v>82556.421</v>
      </c>
      <c r="BG64" s="52">
        <f t="shared" si="67"/>
        <v>19990.296</v>
      </c>
      <c r="BH64" s="52">
        <f t="shared" si="67"/>
        <v>8696.62099999974</v>
      </c>
      <c r="BI64" s="52">
        <f t="shared" si="67"/>
        <v>102109.956</v>
      </c>
      <c r="BJ64" s="52">
        <f t="shared" si="67"/>
        <v>77005.811</v>
      </c>
      <c r="BK64" s="52">
        <f t="shared" si="67"/>
        <v>34045.9209999998</v>
      </c>
      <c r="BL64" s="52">
        <f t="shared" si="67"/>
        <v>115603.906</v>
      </c>
      <c r="BM64" s="52">
        <f t="shared" si="67"/>
        <v>63548.3510000001</v>
      </c>
      <c r="BN64" s="52">
        <f t="shared" si="67"/>
        <v>16616.1460000003</v>
      </c>
      <c r="BO64" s="52">
        <f t="shared" si="67"/>
        <v>127540.831</v>
      </c>
      <c r="BP64" s="52">
        <f t="shared" si="67"/>
        <v>166335.201</v>
      </c>
      <c r="BQ64" s="52">
        <f t="shared" si="67"/>
        <v>170751.071</v>
      </c>
      <c r="BR64" s="52">
        <f t="shared" si="67"/>
        <v>319804.566</v>
      </c>
      <c r="BS64" s="52">
        <f t="shared" si="67"/>
        <v>457130.726</v>
      </c>
      <c r="BT64" s="52">
        <f t="shared" si="67"/>
        <v>540135.586</v>
      </c>
      <c r="BU64" s="52">
        <f t="shared" si="67"/>
        <v>426922.821</v>
      </c>
      <c r="BV64" s="52">
        <f t="shared" si="67"/>
        <v>472597.506</v>
      </c>
      <c r="BW64" s="52">
        <f t="shared" si="67"/>
        <v>613542.536</v>
      </c>
      <c r="BX64" s="52">
        <f t="shared" si="67"/>
        <v>557635.186</v>
      </c>
      <c r="BY64" s="52">
        <f t="shared" si="67"/>
        <v>355651.576</v>
      </c>
      <c r="BZ64" s="52">
        <f t="shared" si="67"/>
        <v>383206.896</v>
      </c>
      <c r="CA64" s="52">
        <f t="shared" si="67"/>
        <v>322499.381</v>
      </c>
      <c r="CB64" s="52">
        <f t="shared" si="67"/>
        <v>553262.836</v>
      </c>
      <c r="CC64" s="52">
        <f t="shared" si="67"/>
        <v>691654.501</v>
      </c>
      <c r="CD64" s="52">
        <f t="shared" si="67"/>
        <v>734140.726</v>
      </c>
      <c r="CE64" s="52">
        <f t="shared" si="67"/>
        <v>846546.726</v>
      </c>
      <c r="CF64" s="52">
        <f t="shared" si="67"/>
        <v>921076.871</v>
      </c>
      <c r="CG64" s="52">
        <f t="shared" si="67"/>
        <v>845966.806</v>
      </c>
      <c r="CH64" s="52">
        <f t="shared" si="67"/>
        <v>877098.596</v>
      </c>
      <c r="CI64" s="52">
        <f t="shared" si="67"/>
        <v>885154.896</v>
      </c>
      <c r="CJ64" s="52">
        <f t="shared" si="67"/>
        <v>896945.391</v>
      </c>
      <c r="CK64" s="52">
        <f t="shared" si="67"/>
        <v>885494.236</v>
      </c>
    </row>
    <row r="65" spans="1:89">
      <c r="A65" t="s">
        <v>113</v>
      </c>
      <c r="G65" s="3">
        <f>G64/$D$1</f>
        <v>0</v>
      </c>
      <c r="H65" s="3">
        <f t="shared" ref="H65:Z65" si="68">H64/$D$1</f>
        <v>0.0050232843</v>
      </c>
      <c r="I65" s="3">
        <f t="shared" si="68"/>
        <v>-0.00415688900000001</v>
      </c>
      <c r="J65" s="3">
        <f t="shared" si="68"/>
        <v>-0.00699193640000001</v>
      </c>
      <c r="K65" s="3">
        <f t="shared" si="68"/>
        <v>-0.0116137922</v>
      </c>
      <c r="L65" s="3">
        <f t="shared" si="68"/>
        <v>-0.0187650737</v>
      </c>
      <c r="M65" s="3">
        <f t="shared" si="68"/>
        <v>-0.0086502621</v>
      </c>
      <c r="N65" s="3">
        <f t="shared" si="68"/>
        <v>-0.0069676446</v>
      </c>
      <c r="O65" s="3">
        <f t="shared" si="68"/>
        <v>-0.0102785412</v>
      </c>
      <c r="P65" s="3">
        <f t="shared" si="68"/>
        <v>-0.0152434835</v>
      </c>
      <c r="Q65" s="3">
        <f t="shared" si="68"/>
        <v>-0.0055090395</v>
      </c>
      <c r="R65" s="3">
        <f t="shared" si="68"/>
        <v>-0.012043929</v>
      </c>
      <c r="S65" s="3">
        <f t="shared" si="68"/>
        <v>-0.00700686169999999</v>
      </c>
      <c r="T65" s="3">
        <f t="shared" si="68"/>
        <v>-0.0162128096</v>
      </c>
      <c r="U65" s="3">
        <f t="shared" si="68"/>
        <v>-0.00940191700000001</v>
      </c>
      <c r="V65" s="3">
        <f t="shared" si="68"/>
        <v>-0.0140947843</v>
      </c>
      <c r="W65" s="3">
        <f t="shared" si="68"/>
        <v>-0.0234448026</v>
      </c>
      <c r="X65" s="3">
        <f t="shared" si="68"/>
        <v>-0.0537643254</v>
      </c>
      <c r="Y65" s="3">
        <f t="shared" si="68"/>
        <v>-0.0470857523</v>
      </c>
      <c r="Z65" s="3">
        <f t="shared" si="68"/>
        <v>-0.0467644534</v>
      </c>
      <c r="AC65" s="50"/>
      <c r="AD65" s="3">
        <f t="shared" ref="AD65:AE65" si="69">AD64/$D$1</f>
        <v>-0.0481661869</v>
      </c>
      <c r="AE65" s="3">
        <f t="shared" si="69"/>
        <v>-0.0350641984</v>
      </c>
      <c r="AF65" s="3">
        <f t="shared" ref="AF65" si="70">AF64/$D$1</f>
        <v>-0.0289151004</v>
      </c>
      <c r="AG65" s="3">
        <f t="shared" ref="AG65" si="71">AG64/$D$1</f>
        <v>-0.0359526454</v>
      </c>
      <c r="AH65" s="3">
        <f t="shared" ref="AH65" si="72">AH64/$D$1</f>
        <v>-0.0296996669</v>
      </c>
      <c r="AI65" s="3">
        <f t="shared" ref="AI65" si="73">AI64/$D$1</f>
        <v>-0.0215754304</v>
      </c>
      <c r="AJ65" s="3">
        <f t="shared" ref="AJ65" si="74">AJ64/$D$1</f>
        <v>-0.0147365624</v>
      </c>
      <c r="AK65" s="3">
        <f t="shared" ref="AK65" si="75">AK64/$D$1</f>
        <v>-0.0068790914</v>
      </c>
      <c r="AL65" s="3">
        <f t="shared" ref="AL65" si="76">AL64/$D$1</f>
        <v>-0.0107500449</v>
      </c>
      <c r="AM65" s="3">
        <f t="shared" ref="AM65" si="77">AM64/$D$1</f>
        <v>0.00551445409999999</v>
      </c>
      <c r="AN65" s="3">
        <f t="shared" ref="AN65" si="78">AN64/$D$1</f>
        <v>0.0050866346</v>
      </c>
      <c r="AO65" s="3">
        <f t="shared" ref="AO65" si="79">AO64/$D$1</f>
        <v>-0.0023301899</v>
      </c>
      <c r="AP65" s="3">
        <f t="shared" ref="AP65" si="80">AP64/$D$1</f>
        <v>0.00430144010000001</v>
      </c>
      <c r="AQ65" s="3">
        <f t="shared" ref="AQ65" si="81">AQ64/$D$1</f>
        <v>-0.00649743039999999</v>
      </c>
      <c r="AR65" s="3">
        <f t="shared" ref="AR65" si="82">AR64/$D$1</f>
        <v>-0.0180685599</v>
      </c>
      <c r="AS65" s="3">
        <f t="shared" ref="AS65" si="83">AS64/$D$1</f>
        <v>-0.0143846224</v>
      </c>
      <c r="AT65" s="3">
        <f t="shared" ref="AT65" si="84">AT64/$D$1</f>
        <v>-0.0104835329</v>
      </c>
      <c r="AU65" s="3">
        <f t="shared" ref="AU65" si="85">AU64/$D$1</f>
        <v>-0.0194595514</v>
      </c>
      <c r="AV65" s="3">
        <f t="shared" ref="AV65" si="86">AV64/$D$1</f>
        <v>-0.0179034209</v>
      </c>
      <c r="AW65" s="3">
        <f t="shared" ref="AW65" si="87">AW64/$D$1</f>
        <v>-0.0221200079</v>
      </c>
      <c r="AX65" s="3">
        <f t="shared" ref="AX65" si="88">AX64/$D$1</f>
        <v>-0.0117297244</v>
      </c>
      <c r="AY65" s="3">
        <f t="shared" ref="AY65" si="89">AY64/$D$1</f>
        <v>-0.0173927439</v>
      </c>
      <c r="AZ65" s="3">
        <f t="shared" ref="AZ65:CK65" si="90">AZ64/$D$1</f>
        <v>-0.0171694929</v>
      </c>
      <c r="BA65" s="3">
        <f t="shared" si="90"/>
        <v>-0.00926229640000003</v>
      </c>
      <c r="BB65" s="3">
        <f t="shared" si="90"/>
        <v>-0.0100809879</v>
      </c>
      <c r="BC65" s="3">
        <f t="shared" si="90"/>
        <v>-0.00879160740000001</v>
      </c>
      <c r="BD65" s="3">
        <f t="shared" si="90"/>
        <v>-0.00158452040000001</v>
      </c>
      <c r="BE65" s="3">
        <f t="shared" si="90"/>
        <v>-0.00144787890000001</v>
      </c>
      <c r="BF65" s="3">
        <f t="shared" si="90"/>
        <v>0.0082556421</v>
      </c>
      <c r="BG65" s="3">
        <f t="shared" si="90"/>
        <v>0.0019990296</v>
      </c>
      <c r="BH65" s="3">
        <f t="shared" si="90"/>
        <v>0.000869662099999974</v>
      </c>
      <c r="BI65" s="3">
        <f t="shared" si="90"/>
        <v>0.0102109956</v>
      </c>
      <c r="BJ65" s="3">
        <f t="shared" si="90"/>
        <v>0.0077005811</v>
      </c>
      <c r="BK65" s="3">
        <f t="shared" si="90"/>
        <v>0.00340459209999998</v>
      </c>
      <c r="BL65" s="3">
        <f t="shared" si="90"/>
        <v>0.0115603906</v>
      </c>
      <c r="BM65" s="3">
        <f t="shared" si="90"/>
        <v>0.00635483510000001</v>
      </c>
      <c r="BN65" s="3">
        <f t="shared" si="90"/>
        <v>0.00166161460000003</v>
      </c>
      <c r="BO65" s="3">
        <f t="shared" si="90"/>
        <v>0.0127540831</v>
      </c>
      <c r="BP65" s="3">
        <f t="shared" si="90"/>
        <v>0.0166335201</v>
      </c>
      <c r="BQ65" s="3">
        <f t="shared" si="90"/>
        <v>0.0170751071</v>
      </c>
      <c r="BR65" s="3">
        <f t="shared" si="90"/>
        <v>0.0319804566</v>
      </c>
      <c r="BS65" s="3">
        <f t="shared" si="90"/>
        <v>0.0457130726</v>
      </c>
      <c r="BT65" s="3">
        <f t="shared" si="90"/>
        <v>0.0540135586</v>
      </c>
      <c r="BU65" s="3">
        <f t="shared" si="90"/>
        <v>0.0426922821</v>
      </c>
      <c r="BV65" s="3">
        <f t="shared" si="90"/>
        <v>0.0472597506</v>
      </c>
      <c r="BW65" s="3">
        <f t="shared" si="90"/>
        <v>0.0613542536</v>
      </c>
      <c r="BX65" s="3">
        <f t="shared" si="90"/>
        <v>0.0557635186</v>
      </c>
      <c r="BY65" s="3">
        <f t="shared" si="90"/>
        <v>0.0355651576</v>
      </c>
      <c r="BZ65" s="3">
        <f t="shared" si="90"/>
        <v>0.0383206896</v>
      </c>
      <c r="CA65" s="3">
        <f t="shared" si="90"/>
        <v>0.0322499381</v>
      </c>
      <c r="CB65" s="3">
        <f t="shared" si="90"/>
        <v>0.0553262836</v>
      </c>
      <c r="CC65" s="3">
        <f t="shared" si="90"/>
        <v>0.0691654501</v>
      </c>
      <c r="CD65" s="3">
        <f t="shared" si="90"/>
        <v>0.0734140726</v>
      </c>
      <c r="CE65" s="3">
        <f t="shared" si="90"/>
        <v>0.0846546726</v>
      </c>
      <c r="CF65" s="3">
        <f t="shared" si="90"/>
        <v>0.0921076871</v>
      </c>
      <c r="CG65" s="3">
        <f t="shared" si="90"/>
        <v>0.0845966806</v>
      </c>
      <c r="CH65" s="3">
        <f t="shared" si="90"/>
        <v>0.0877098596</v>
      </c>
      <c r="CI65" s="3">
        <f t="shared" si="90"/>
        <v>0.0885154896</v>
      </c>
      <c r="CJ65" s="3">
        <f t="shared" si="90"/>
        <v>0.0896945391</v>
      </c>
      <c r="CK65" s="3">
        <f t="shared" si="90"/>
        <v>0.0885494236</v>
      </c>
    </row>
    <row r="66" spans="29:29">
      <c r="AC66" s="50"/>
    </row>
    <row r="67" spans="1:89">
      <c r="A67" t="s">
        <v>114</v>
      </c>
      <c r="G67" s="52">
        <f>G62-G56</f>
        <v>0</v>
      </c>
      <c r="H67" s="52">
        <f t="shared" ref="H67:Z67" si="91">H62-H56</f>
        <v>20043.333</v>
      </c>
      <c r="I67" s="52">
        <f t="shared" si="91"/>
        <v>784.507000000012</v>
      </c>
      <c r="J67" s="52">
        <f t="shared" si="91"/>
        <v>-1549.19400000018</v>
      </c>
      <c r="K67" s="52">
        <f t="shared" si="91"/>
        <v>7028.68199999991</v>
      </c>
      <c r="L67" s="52">
        <f t="shared" si="91"/>
        <v>-15524.5349999999</v>
      </c>
      <c r="M67" s="52">
        <f t="shared" si="91"/>
        <v>-25637.6739999998</v>
      </c>
      <c r="N67" s="52">
        <f t="shared" si="91"/>
        <v>15975.9449999999</v>
      </c>
      <c r="O67" s="52">
        <f t="shared" si="91"/>
        <v>-2081.91600000023</v>
      </c>
      <c r="P67" s="52">
        <f t="shared" si="91"/>
        <v>18635.4670000005</v>
      </c>
      <c r="Q67" s="52">
        <f t="shared" si="91"/>
        <v>-37194.9400000005</v>
      </c>
      <c r="R67" s="52">
        <f t="shared" si="91"/>
        <v>-24550.5449999993</v>
      </c>
      <c r="S67" s="52">
        <f t="shared" si="91"/>
        <v>29685.9729999998</v>
      </c>
      <c r="T67" s="52">
        <f t="shared" si="91"/>
        <v>-49294.1790000003</v>
      </c>
      <c r="U67" s="52">
        <f t="shared" si="91"/>
        <v>-3564.19399999946</v>
      </c>
      <c r="V67" s="52">
        <f t="shared" si="91"/>
        <v>-52766.0730000004</v>
      </c>
      <c r="W67" s="52">
        <f t="shared" si="91"/>
        <v>20697.1269999997</v>
      </c>
      <c r="X67" s="52">
        <f t="shared" si="91"/>
        <v>-16642.3379999994</v>
      </c>
      <c r="Y67" s="52">
        <f t="shared" si="91"/>
        <v>-42157.9190000005</v>
      </c>
      <c r="Z67" s="52">
        <f t="shared" si="91"/>
        <v>17133.9190000002</v>
      </c>
      <c r="AC67" s="50"/>
      <c r="AD67" s="52">
        <f>AD62-AD56</f>
        <v>-32344.2349999997</v>
      </c>
      <c r="AE67" s="52">
        <f>AE62-AE56</f>
        <v>33699.9850000002</v>
      </c>
      <c r="AF67" s="52">
        <f t="shared" ref="AF67:AY67" si="92">AF62-AF56</f>
        <v>17370.1799999997</v>
      </c>
      <c r="AG67" s="52">
        <f t="shared" si="92"/>
        <v>-12106.6500000007</v>
      </c>
      <c r="AH67" s="52">
        <f t="shared" si="92"/>
        <v>-9389.21499999936</v>
      </c>
      <c r="AI67" s="52">
        <f t="shared" si="92"/>
        <v>13711.8649999996</v>
      </c>
      <c r="AJ67" s="52">
        <f t="shared" si="92"/>
        <v>-17246.0199999996</v>
      </c>
      <c r="AK67" s="52">
        <f t="shared" si="92"/>
        <v>9000.61000000029</v>
      </c>
      <c r="AL67" s="52">
        <f t="shared" si="92"/>
        <v>12904.4649999996</v>
      </c>
      <c r="AM67" s="52">
        <f t="shared" si="92"/>
        <v>38155.6900000001</v>
      </c>
      <c r="AN67" s="52">
        <f t="shared" si="92"/>
        <v>3647.30500000031</v>
      </c>
      <c r="AO67" s="52">
        <f t="shared" si="92"/>
        <v>-28658.8450000003</v>
      </c>
      <c r="AP67" s="52">
        <f t="shared" si="92"/>
        <v>25182.3000000006</v>
      </c>
      <c r="AQ67" s="52">
        <f t="shared" si="92"/>
        <v>57922.7949999995</v>
      </c>
      <c r="AR67" s="52">
        <f t="shared" si="92"/>
        <v>58820.0049999993</v>
      </c>
      <c r="AS67" s="52">
        <f t="shared" si="92"/>
        <v>-7857.82499999987</v>
      </c>
      <c r="AT67" s="52">
        <f t="shared" si="92"/>
        <v>14553.195</v>
      </c>
      <c r="AU67" s="52">
        <f t="shared" si="92"/>
        <v>-12863.1849999991</v>
      </c>
      <c r="AV67" s="52">
        <f t="shared" si="92"/>
        <v>10321.305</v>
      </c>
      <c r="AW67" s="52">
        <f t="shared" si="92"/>
        <v>28115.6299999996</v>
      </c>
      <c r="AX67" s="52">
        <f t="shared" si="92"/>
        <v>18150.2349999999</v>
      </c>
      <c r="AY67" s="52">
        <f t="shared" si="92"/>
        <v>-29395.2950000001</v>
      </c>
      <c r="AZ67" s="52">
        <f t="shared" ref="AZ67:CK67" si="93">AZ62-AZ56</f>
        <v>33855.9100000005</v>
      </c>
      <c r="BA67" s="52">
        <f t="shared" si="93"/>
        <v>393.364999999249</v>
      </c>
      <c r="BB67" s="52">
        <f t="shared" si="93"/>
        <v>-27247.4150000001</v>
      </c>
      <c r="BC67" s="52">
        <f t="shared" si="93"/>
        <v>-2734.49499999915</v>
      </c>
      <c r="BD67" s="52">
        <f t="shared" si="93"/>
        <v>-9411.13000000088</v>
      </c>
      <c r="BE67" s="52">
        <f t="shared" si="93"/>
        <v>-886.784999999202</v>
      </c>
      <c r="BF67" s="52">
        <f t="shared" si="93"/>
        <v>3121.30999999943</v>
      </c>
      <c r="BG67" s="52">
        <f t="shared" si="93"/>
        <v>40543.9750000001</v>
      </c>
      <c r="BH67" s="52">
        <f t="shared" si="93"/>
        <v>29630.7250000006</v>
      </c>
      <c r="BI67" s="52">
        <f t="shared" si="93"/>
        <v>4818.03500000018</v>
      </c>
      <c r="BJ67" s="52">
        <f t="shared" si="93"/>
        <v>-23767.9450000007</v>
      </c>
      <c r="BK67" s="52">
        <f t="shared" si="93"/>
        <v>-12201.0899999995</v>
      </c>
      <c r="BL67" s="52">
        <f t="shared" si="93"/>
        <v>26655.8849999993</v>
      </c>
      <c r="BM67" s="52">
        <f t="shared" si="93"/>
        <v>6331.14500000081</v>
      </c>
      <c r="BN67" s="52">
        <f t="shared" si="93"/>
        <v>-4972.90500000015</v>
      </c>
      <c r="BO67" s="52">
        <f t="shared" si="93"/>
        <v>12334.0849999994</v>
      </c>
      <c r="BP67" s="52">
        <f t="shared" si="93"/>
        <v>25445.4700000005</v>
      </c>
      <c r="BQ67" s="52">
        <f t="shared" si="93"/>
        <v>-15325.8299999996</v>
      </c>
      <c r="BR67" s="52">
        <f t="shared" si="93"/>
        <v>56030.3949999999</v>
      </c>
      <c r="BS67" s="52">
        <f t="shared" si="93"/>
        <v>19845.3599999993</v>
      </c>
      <c r="BT67" s="52">
        <f t="shared" si="93"/>
        <v>50372.7600000004</v>
      </c>
      <c r="BU67" s="52">
        <f t="shared" si="93"/>
        <v>30572.8350000003</v>
      </c>
      <c r="BV67" s="52">
        <f t="shared" si="93"/>
        <v>41652.9849999991</v>
      </c>
      <c r="BW67" s="52">
        <f t="shared" si="93"/>
        <v>29228.2300000005</v>
      </c>
      <c r="BX67" s="52">
        <f t="shared" si="93"/>
        <v>-31318.6499999994</v>
      </c>
      <c r="BY67" s="52">
        <f t="shared" si="93"/>
        <v>-40382.0100000006</v>
      </c>
      <c r="BZ67" s="52">
        <f t="shared" si="93"/>
        <v>6254.71999999973</v>
      </c>
      <c r="CA67" s="52">
        <f t="shared" si="93"/>
        <v>-41529.1149999995</v>
      </c>
      <c r="CB67" s="52">
        <f t="shared" si="93"/>
        <v>24595.6549999999</v>
      </c>
      <c r="CC67" s="52">
        <f t="shared" si="93"/>
        <v>-7791.2350000001</v>
      </c>
      <c r="CD67" s="52">
        <f t="shared" si="93"/>
        <v>61337.1250000004</v>
      </c>
      <c r="CE67" s="52">
        <f t="shared" si="93"/>
        <v>70656.3</v>
      </c>
      <c r="CF67" s="52">
        <f t="shared" si="93"/>
        <v>5375.24499999896</v>
      </c>
      <c r="CG67" s="52">
        <f t="shared" si="93"/>
        <v>-7003.16500000017</v>
      </c>
      <c r="CH67" s="52">
        <f t="shared" si="93"/>
        <v>6359.68999999981</v>
      </c>
      <c r="CI67" s="52">
        <f t="shared" si="93"/>
        <v>8252.80000000187</v>
      </c>
      <c r="CJ67" s="52">
        <f t="shared" si="93"/>
        <v>-5960.00500000126</v>
      </c>
      <c r="CK67" s="52">
        <f t="shared" si="93"/>
        <v>18154.8450000004</v>
      </c>
    </row>
    <row r="68" spans="1:89">
      <c r="A68" t="s">
        <v>115</v>
      </c>
      <c r="G68" s="3">
        <f>G67/$D$1</f>
        <v>0</v>
      </c>
      <c r="H68" s="3">
        <f t="shared" ref="H68:Z68" si="94">H67/$D$1</f>
        <v>0.0020043333</v>
      </c>
      <c r="I68" s="3">
        <f t="shared" si="94"/>
        <v>7.84507000000012e-5</v>
      </c>
      <c r="J68" s="3">
        <f t="shared" si="94"/>
        <v>-0.000154919400000018</v>
      </c>
      <c r="K68" s="3">
        <f t="shared" si="94"/>
        <v>0.000702868199999991</v>
      </c>
      <c r="L68" s="3">
        <f t="shared" si="94"/>
        <v>-0.00155245349999999</v>
      </c>
      <c r="M68" s="3">
        <f t="shared" si="94"/>
        <v>-0.00256376739999998</v>
      </c>
      <c r="N68" s="3">
        <f t="shared" si="94"/>
        <v>0.00159759449999999</v>
      </c>
      <c r="O68" s="3">
        <f t="shared" si="94"/>
        <v>-0.000208191600000023</v>
      </c>
      <c r="P68" s="3">
        <f t="shared" si="94"/>
        <v>0.00186354670000005</v>
      </c>
      <c r="Q68" s="3">
        <f t="shared" si="94"/>
        <v>-0.00371949400000005</v>
      </c>
      <c r="R68" s="3">
        <f t="shared" si="94"/>
        <v>-0.00245505449999993</v>
      </c>
      <c r="S68" s="3">
        <f t="shared" si="94"/>
        <v>0.00296859729999998</v>
      </c>
      <c r="T68" s="3">
        <f t="shared" si="94"/>
        <v>-0.00492941790000003</v>
      </c>
      <c r="U68" s="3">
        <f t="shared" si="94"/>
        <v>-0.000356419399999946</v>
      </c>
      <c r="V68" s="3">
        <f t="shared" si="94"/>
        <v>-0.00527660730000004</v>
      </c>
      <c r="W68" s="3">
        <f t="shared" si="94"/>
        <v>0.00206971269999997</v>
      </c>
      <c r="X68" s="3">
        <f t="shared" si="94"/>
        <v>-0.00166423379999994</v>
      </c>
      <c r="Y68" s="3">
        <f t="shared" si="94"/>
        <v>-0.00421579190000005</v>
      </c>
      <c r="Z68" s="3">
        <f t="shared" si="94"/>
        <v>0.00171339190000002</v>
      </c>
      <c r="AC68" s="50"/>
      <c r="AD68" s="3">
        <f>AD67/$D$1</f>
        <v>-0.00323442349999997</v>
      </c>
      <c r="AE68" s="3">
        <f>AE67/$D$1</f>
        <v>0.00336999850000002</v>
      </c>
      <c r="AF68" s="3">
        <f t="shared" ref="AF68:AY68" si="95">AF67/$D$1</f>
        <v>0.00173701799999997</v>
      </c>
      <c r="AG68" s="3">
        <f t="shared" si="95"/>
        <v>-0.00121066500000007</v>
      </c>
      <c r="AH68" s="3">
        <f t="shared" si="95"/>
        <v>-0.000938921499999936</v>
      </c>
      <c r="AI68" s="3">
        <f t="shared" si="95"/>
        <v>0.00137118649999996</v>
      </c>
      <c r="AJ68" s="3">
        <f t="shared" si="95"/>
        <v>-0.00172460199999996</v>
      </c>
      <c r="AK68" s="3">
        <f t="shared" si="95"/>
        <v>0.000900061000000029</v>
      </c>
      <c r="AL68" s="3">
        <f t="shared" si="95"/>
        <v>0.00129044649999996</v>
      </c>
      <c r="AM68" s="3">
        <f t="shared" si="95"/>
        <v>0.00381556900000001</v>
      </c>
      <c r="AN68" s="3">
        <f t="shared" si="95"/>
        <v>0.000364730500000031</v>
      </c>
      <c r="AO68" s="3">
        <f t="shared" si="95"/>
        <v>-0.00286588450000003</v>
      </c>
      <c r="AP68" s="3">
        <f t="shared" si="95"/>
        <v>0.00251823000000006</v>
      </c>
      <c r="AQ68" s="3">
        <f t="shared" si="95"/>
        <v>0.00579227949999995</v>
      </c>
      <c r="AR68" s="3">
        <f t="shared" si="95"/>
        <v>0.00588200049999993</v>
      </c>
      <c r="AS68" s="3">
        <f t="shared" si="95"/>
        <v>-0.000785782499999987</v>
      </c>
      <c r="AT68" s="3">
        <f t="shared" si="95"/>
        <v>0.0014553195</v>
      </c>
      <c r="AU68" s="3">
        <f t="shared" si="95"/>
        <v>-0.00128631849999991</v>
      </c>
      <c r="AV68" s="3">
        <f t="shared" si="95"/>
        <v>0.0010321305</v>
      </c>
      <c r="AW68" s="3">
        <f t="shared" si="95"/>
        <v>0.00281156299999996</v>
      </c>
      <c r="AX68" s="3">
        <f t="shared" si="95"/>
        <v>0.00181502349999999</v>
      </c>
      <c r="AY68" s="3">
        <f t="shared" si="95"/>
        <v>-0.00293952950000001</v>
      </c>
      <c r="AZ68" s="3">
        <f t="shared" ref="AZ68:CK68" si="96">AZ67/$D$1</f>
        <v>0.00338559100000005</v>
      </c>
      <c r="BA68" s="3">
        <f t="shared" si="96"/>
        <v>3.93364999999249e-5</v>
      </c>
      <c r="BB68" s="3">
        <f t="shared" si="96"/>
        <v>-0.00272474150000001</v>
      </c>
      <c r="BC68" s="3">
        <f t="shared" si="96"/>
        <v>-0.000273449499999915</v>
      </c>
      <c r="BD68" s="3">
        <f t="shared" si="96"/>
        <v>-0.000941113000000088</v>
      </c>
      <c r="BE68" s="3">
        <f t="shared" si="96"/>
        <v>-8.86784999999202e-5</v>
      </c>
      <c r="BF68" s="3">
        <f t="shared" si="96"/>
        <v>0.000312130999999943</v>
      </c>
      <c r="BG68" s="3">
        <f t="shared" si="96"/>
        <v>0.00405439750000001</v>
      </c>
      <c r="BH68" s="3">
        <f t="shared" si="96"/>
        <v>0.00296307250000006</v>
      </c>
      <c r="BI68" s="3">
        <f t="shared" si="96"/>
        <v>0.000481803500000018</v>
      </c>
      <c r="BJ68" s="3">
        <f t="shared" si="96"/>
        <v>-0.00237679450000007</v>
      </c>
      <c r="BK68" s="3">
        <f t="shared" si="96"/>
        <v>-0.00122010899999995</v>
      </c>
      <c r="BL68" s="3">
        <f t="shared" si="96"/>
        <v>0.00266558849999993</v>
      </c>
      <c r="BM68" s="3">
        <f t="shared" si="96"/>
        <v>0.000633114500000081</v>
      </c>
      <c r="BN68" s="3">
        <f t="shared" si="96"/>
        <v>-0.000497290500000015</v>
      </c>
      <c r="BO68" s="3">
        <f t="shared" si="96"/>
        <v>0.00123340849999994</v>
      </c>
      <c r="BP68" s="3">
        <f t="shared" si="96"/>
        <v>0.00254454700000005</v>
      </c>
      <c r="BQ68" s="3">
        <f t="shared" si="96"/>
        <v>-0.00153258299999996</v>
      </c>
      <c r="BR68" s="3">
        <f t="shared" si="96"/>
        <v>0.00560303949999999</v>
      </c>
      <c r="BS68" s="3">
        <f t="shared" si="96"/>
        <v>0.00198453599999993</v>
      </c>
      <c r="BT68" s="3">
        <f t="shared" si="96"/>
        <v>0.00503727600000004</v>
      </c>
      <c r="BU68" s="3">
        <f t="shared" si="96"/>
        <v>0.00305728350000003</v>
      </c>
      <c r="BV68" s="3">
        <f t="shared" si="96"/>
        <v>0.00416529849999991</v>
      </c>
      <c r="BW68" s="3">
        <f t="shared" si="96"/>
        <v>0.00292282300000005</v>
      </c>
      <c r="BX68" s="3">
        <f t="shared" si="96"/>
        <v>-0.00313186499999994</v>
      </c>
      <c r="BY68" s="3">
        <f t="shared" si="96"/>
        <v>-0.00403820100000006</v>
      </c>
      <c r="BZ68" s="3">
        <f t="shared" si="96"/>
        <v>0.000625471999999973</v>
      </c>
      <c r="CA68" s="3">
        <f t="shared" si="96"/>
        <v>-0.00415291149999995</v>
      </c>
      <c r="CB68" s="3">
        <f t="shared" si="96"/>
        <v>0.00245956549999999</v>
      </c>
      <c r="CC68" s="3">
        <f t="shared" si="96"/>
        <v>-0.00077912350000001</v>
      </c>
      <c r="CD68" s="3">
        <f t="shared" si="96"/>
        <v>0.00613371250000004</v>
      </c>
      <c r="CE68" s="3">
        <f t="shared" si="96"/>
        <v>0.00706563000000001</v>
      </c>
      <c r="CF68" s="3">
        <f t="shared" si="96"/>
        <v>0.000537524499999896</v>
      </c>
      <c r="CG68" s="3">
        <f t="shared" si="96"/>
        <v>-0.000700316500000017</v>
      </c>
      <c r="CH68" s="3">
        <f t="shared" si="96"/>
        <v>0.000635968999999981</v>
      </c>
      <c r="CI68" s="3">
        <f t="shared" si="96"/>
        <v>0.000825280000000187</v>
      </c>
      <c r="CJ68" s="3">
        <f t="shared" si="96"/>
        <v>-0.000596000500000126</v>
      </c>
      <c r="CK68" s="3">
        <f t="shared" si="96"/>
        <v>0.00181548450000004</v>
      </c>
    </row>
    <row r="69" spans="1:89">
      <c r="A69" t="s">
        <v>116</v>
      </c>
      <c r="G69" s="52">
        <f>G67</f>
        <v>0</v>
      </c>
      <c r="H69" s="52">
        <f>G69+H67</f>
        <v>20043.333</v>
      </c>
      <c r="I69" s="52">
        <f t="shared" ref="I69:Z69" si="97">H69+I67</f>
        <v>20827.84</v>
      </c>
      <c r="J69" s="52">
        <f t="shared" si="97"/>
        <v>19278.6459999999</v>
      </c>
      <c r="K69" s="52">
        <f t="shared" si="97"/>
        <v>26307.3279999998</v>
      </c>
      <c r="L69" s="52">
        <f t="shared" si="97"/>
        <v>10782.7929999999</v>
      </c>
      <c r="M69" s="52">
        <f t="shared" si="97"/>
        <v>-14854.881</v>
      </c>
      <c r="N69" s="52">
        <f t="shared" si="97"/>
        <v>1121.06399999995</v>
      </c>
      <c r="O69" s="52">
        <f t="shared" si="97"/>
        <v>-960.852000000281</v>
      </c>
      <c r="P69" s="52">
        <f t="shared" si="97"/>
        <v>17674.6150000002</v>
      </c>
      <c r="Q69" s="52">
        <f t="shared" si="97"/>
        <v>-19520.3250000003</v>
      </c>
      <c r="R69" s="52">
        <f t="shared" si="97"/>
        <v>-44070.8699999996</v>
      </c>
      <c r="S69" s="52">
        <f t="shared" si="97"/>
        <v>-14384.8969999998</v>
      </c>
      <c r="T69" s="52">
        <f t="shared" si="97"/>
        <v>-63679.0760000001</v>
      </c>
      <c r="U69" s="52">
        <f t="shared" si="97"/>
        <v>-67243.2699999996</v>
      </c>
      <c r="V69" s="52">
        <f t="shared" si="97"/>
        <v>-120009.343</v>
      </c>
      <c r="W69" s="52">
        <f t="shared" si="97"/>
        <v>-99312.2160000003</v>
      </c>
      <c r="X69" s="52">
        <f t="shared" si="97"/>
        <v>-115954.554</v>
      </c>
      <c r="Y69" s="52">
        <f t="shared" si="97"/>
        <v>-158112.473</v>
      </c>
      <c r="Z69" s="52">
        <f t="shared" si="97"/>
        <v>-140978.554</v>
      </c>
      <c r="AC69" s="50"/>
      <c r="AD69" s="52">
        <f>AD67+Z69</f>
        <v>-173322.789</v>
      </c>
      <c r="AE69" s="52">
        <f>AD69+AE67</f>
        <v>-139622.804</v>
      </c>
      <c r="AF69" s="52">
        <f t="shared" ref="AF69:AY69" si="98">AE69+AF67</f>
        <v>-122252.624</v>
      </c>
      <c r="AG69" s="52">
        <f t="shared" si="98"/>
        <v>-134359.274000001</v>
      </c>
      <c r="AH69" s="52">
        <f t="shared" si="98"/>
        <v>-143748.489</v>
      </c>
      <c r="AI69" s="52">
        <f t="shared" si="98"/>
        <v>-130036.624</v>
      </c>
      <c r="AJ69" s="52">
        <f t="shared" si="98"/>
        <v>-147282.644</v>
      </c>
      <c r="AK69" s="52">
        <f t="shared" si="98"/>
        <v>-138282.034</v>
      </c>
      <c r="AL69" s="52">
        <f t="shared" si="98"/>
        <v>-125377.569</v>
      </c>
      <c r="AM69" s="52">
        <f t="shared" si="98"/>
        <v>-87221.879</v>
      </c>
      <c r="AN69" s="52">
        <f t="shared" si="98"/>
        <v>-83574.5739999996</v>
      </c>
      <c r="AO69" s="52">
        <f t="shared" si="98"/>
        <v>-112233.419</v>
      </c>
      <c r="AP69" s="52">
        <f t="shared" si="98"/>
        <v>-87051.1189999994</v>
      </c>
      <c r="AQ69" s="52">
        <f t="shared" si="98"/>
        <v>-29128.3239999998</v>
      </c>
      <c r="AR69" s="52">
        <f t="shared" si="98"/>
        <v>29691.6809999994</v>
      </c>
      <c r="AS69" s="52">
        <f t="shared" si="98"/>
        <v>21833.8559999996</v>
      </c>
      <c r="AT69" s="52">
        <f t="shared" si="98"/>
        <v>36387.0509999996</v>
      </c>
      <c r="AU69" s="52">
        <f t="shared" si="98"/>
        <v>23523.8660000005</v>
      </c>
      <c r="AV69" s="52">
        <f t="shared" si="98"/>
        <v>33845.1710000005</v>
      </c>
      <c r="AW69" s="52">
        <f t="shared" si="98"/>
        <v>61960.801</v>
      </c>
      <c r="AX69" s="52">
        <f t="shared" si="98"/>
        <v>80111.0359999999</v>
      </c>
      <c r="AY69" s="52">
        <f t="shared" si="98"/>
        <v>50715.7409999998</v>
      </c>
      <c r="AZ69" s="52">
        <f t="shared" ref="AZ69:CK69" si="99">AY69+AZ67</f>
        <v>84571.6510000003</v>
      </c>
      <c r="BA69" s="52">
        <f t="shared" si="99"/>
        <v>84965.0159999996</v>
      </c>
      <c r="BB69" s="52">
        <f t="shared" si="99"/>
        <v>57717.6009999994</v>
      </c>
      <c r="BC69" s="52">
        <f t="shared" si="99"/>
        <v>54983.1060000003</v>
      </c>
      <c r="BD69" s="52">
        <f t="shared" si="99"/>
        <v>45571.9759999994</v>
      </c>
      <c r="BE69" s="52">
        <f t="shared" si="99"/>
        <v>44685.1910000002</v>
      </c>
      <c r="BF69" s="52">
        <f t="shared" si="99"/>
        <v>47806.5009999996</v>
      </c>
      <c r="BG69" s="52">
        <f t="shared" si="99"/>
        <v>88350.4759999997</v>
      </c>
      <c r="BH69" s="52">
        <f t="shared" si="99"/>
        <v>117981.201</v>
      </c>
      <c r="BI69" s="52">
        <f t="shared" si="99"/>
        <v>122799.236000001</v>
      </c>
      <c r="BJ69" s="52">
        <f t="shared" si="99"/>
        <v>99031.2909999998</v>
      </c>
      <c r="BK69" s="52">
        <f t="shared" si="99"/>
        <v>86830.2010000003</v>
      </c>
      <c r="BL69" s="52">
        <f t="shared" si="99"/>
        <v>113486.086</v>
      </c>
      <c r="BM69" s="52">
        <f t="shared" si="99"/>
        <v>119817.231</v>
      </c>
      <c r="BN69" s="52">
        <f t="shared" si="99"/>
        <v>114844.326</v>
      </c>
      <c r="BO69" s="52">
        <f t="shared" si="99"/>
        <v>127178.411</v>
      </c>
      <c r="BP69" s="52">
        <f t="shared" si="99"/>
        <v>152623.881</v>
      </c>
      <c r="BQ69" s="52">
        <f t="shared" si="99"/>
        <v>137298.051000001</v>
      </c>
      <c r="BR69" s="52">
        <f t="shared" si="99"/>
        <v>193328.446000001</v>
      </c>
      <c r="BS69" s="52">
        <f t="shared" si="99"/>
        <v>213173.806</v>
      </c>
      <c r="BT69" s="52">
        <f t="shared" si="99"/>
        <v>263546.566</v>
      </c>
      <c r="BU69" s="52">
        <f t="shared" si="99"/>
        <v>294119.401</v>
      </c>
      <c r="BV69" s="52">
        <f t="shared" si="99"/>
        <v>335772.385999999</v>
      </c>
      <c r="BW69" s="52">
        <f t="shared" si="99"/>
        <v>365000.616</v>
      </c>
      <c r="BX69" s="52">
        <f t="shared" si="99"/>
        <v>333681.966000001</v>
      </c>
      <c r="BY69" s="52">
        <f t="shared" si="99"/>
        <v>293299.956</v>
      </c>
      <c r="BZ69" s="52">
        <f t="shared" si="99"/>
        <v>299554.676</v>
      </c>
      <c r="CA69" s="52">
        <f t="shared" si="99"/>
        <v>258025.561</v>
      </c>
      <c r="CB69" s="52">
        <f t="shared" si="99"/>
        <v>282621.216</v>
      </c>
      <c r="CC69" s="52">
        <f t="shared" si="99"/>
        <v>274829.981</v>
      </c>
      <c r="CD69" s="52">
        <f t="shared" si="99"/>
        <v>336167.106</v>
      </c>
      <c r="CE69" s="52">
        <f t="shared" si="99"/>
        <v>406823.406000001</v>
      </c>
      <c r="CF69" s="52">
        <f t="shared" si="99"/>
        <v>412198.650999999</v>
      </c>
      <c r="CG69" s="52">
        <f t="shared" si="99"/>
        <v>405195.485999999</v>
      </c>
      <c r="CH69" s="52">
        <f t="shared" si="99"/>
        <v>411555.175999999</v>
      </c>
      <c r="CI69" s="52">
        <f t="shared" si="99"/>
        <v>419807.976000001</v>
      </c>
      <c r="CJ69" s="52">
        <f t="shared" si="99"/>
        <v>413847.971</v>
      </c>
      <c r="CK69" s="52">
        <f t="shared" si="99"/>
        <v>432002.816</v>
      </c>
    </row>
    <row r="70" spans="1:89">
      <c r="A70" t="s">
        <v>117</v>
      </c>
      <c r="G70" s="3">
        <f>G69/$D$1</f>
        <v>0</v>
      </c>
      <c r="H70" s="3">
        <f t="shared" ref="H70:Z70" si="100">H69/$D$1</f>
        <v>0.0020043333</v>
      </c>
      <c r="I70" s="3">
        <f t="shared" si="100"/>
        <v>0.002082784</v>
      </c>
      <c r="J70" s="3">
        <f t="shared" si="100"/>
        <v>0.00192786459999999</v>
      </c>
      <c r="K70" s="3">
        <f t="shared" si="100"/>
        <v>0.00263073279999998</v>
      </c>
      <c r="L70" s="3">
        <f t="shared" si="100"/>
        <v>0.00107827929999999</v>
      </c>
      <c r="M70" s="3">
        <f t="shared" si="100"/>
        <v>-0.0014854881</v>
      </c>
      <c r="N70" s="3">
        <f t="shared" si="100"/>
        <v>0.000112106399999995</v>
      </c>
      <c r="O70" s="3">
        <f t="shared" si="100"/>
        <v>-9.60852000000281e-5</v>
      </c>
      <c r="P70" s="3">
        <f t="shared" si="100"/>
        <v>0.00176746150000002</v>
      </c>
      <c r="Q70" s="3">
        <f t="shared" si="100"/>
        <v>-0.00195203250000003</v>
      </c>
      <c r="R70" s="3">
        <f t="shared" si="100"/>
        <v>-0.00440708699999996</v>
      </c>
      <c r="S70" s="3">
        <f t="shared" si="100"/>
        <v>-0.00143848969999998</v>
      </c>
      <c r="T70" s="3">
        <f t="shared" si="100"/>
        <v>-0.00636790760000001</v>
      </c>
      <c r="U70" s="3">
        <f t="shared" si="100"/>
        <v>-0.00672432699999996</v>
      </c>
      <c r="V70" s="3">
        <f t="shared" si="100"/>
        <v>-0.0120009343</v>
      </c>
      <c r="W70" s="3">
        <f t="shared" si="100"/>
        <v>-0.00993122160000003</v>
      </c>
      <c r="X70" s="3">
        <f t="shared" si="100"/>
        <v>-0.0115954554</v>
      </c>
      <c r="Y70" s="3">
        <f t="shared" si="100"/>
        <v>-0.0158112473</v>
      </c>
      <c r="Z70" s="3">
        <f t="shared" si="100"/>
        <v>-0.0140978554</v>
      </c>
      <c r="AC70" s="50"/>
      <c r="AD70" s="3">
        <f>AD69/$D$1</f>
        <v>-0.0173322789</v>
      </c>
      <c r="AE70" s="3">
        <f>AE69/$D$1</f>
        <v>-0.0139622804</v>
      </c>
      <c r="AF70" s="3">
        <f t="shared" ref="AF70:AY70" si="101">AF69/$D$1</f>
        <v>-0.0122252624</v>
      </c>
      <c r="AG70" s="3">
        <f t="shared" si="101"/>
        <v>-0.0134359274000001</v>
      </c>
      <c r="AH70" s="3">
        <f t="shared" si="101"/>
        <v>-0.0143748489</v>
      </c>
      <c r="AI70" s="3">
        <f t="shared" si="101"/>
        <v>-0.0130036624</v>
      </c>
      <c r="AJ70" s="3">
        <f t="shared" si="101"/>
        <v>-0.0147282644</v>
      </c>
      <c r="AK70" s="3">
        <f t="shared" si="101"/>
        <v>-0.0138282034</v>
      </c>
      <c r="AL70" s="3">
        <f t="shared" si="101"/>
        <v>-0.0125377569</v>
      </c>
      <c r="AM70" s="3">
        <f t="shared" si="101"/>
        <v>-0.0087221879</v>
      </c>
      <c r="AN70" s="3">
        <f t="shared" si="101"/>
        <v>-0.00835745739999996</v>
      </c>
      <c r="AO70" s="3">
        <f t="shared" si="101"/>
        <v>-0.0112233419</v>
      </c>
      <c r="AP70" s="3">
        <f t="shared" si="101"/>
        <v>-0.00870511189999994</v>
      </c>
      <c r="AQ70" s="3">
        <f t="shared" si="101"/>
        <v>-0.00291283239999998</v>
      </c>
      <c r="AR70" s="3">
        <f t="shared" si="101"/>
        <v>0.00296916809999994</v>
      </c>
      <c r="AS70" s="3">
        <f t="shared" si="101"/>
        <v>0.00218338559999996</v>
      </c>
      <c r="AT70" s="3">
        <f t="shared" si="101"/>
        <v>0.00363870509999996</v>
      </c>
      <c r="AU70" s="3">
        <f t="shared" si="101"/>
        <v>0.00235238660000005</v>
      </c>
      <c r="AV70" s="3">
        <f t="shared" si="101"/>
        <v>0.00338451710000005</v>
      </c>
      <c r="AW70" s="3">
        <f t="shared" si="101"/>
        <v>0.0061960801</v>
      </c>
      <c r="AX70" s="3">
        <f t="shared" si="101"/>
        <v>0.00801110359999999</v>
      </c>
      <c r="AY70" s="3">
        <f t="shared" si="101"/>
        <v>0.00507157409999998</v>
      </c>
      <c r="AZ70" s="3">
        <f t="shared" ref="AZ70:CK70" si="102">AZ69/$D$1</f>
        <v>0.00845716510000003</v>
      </c>
      <c r="BA70" s="3">
        <f t="shared" si="102"/>
        <v>0.00849650159999996</v>
      </c>
      <c r="BB70" s="3">
        <f t="shared" si="102"/>
        <v>0.00577176009999994</v>
      </c>
      <c r="BC70" s="3">
        <f t="shared" si="102"/>
        <v>0.00549831060000003</v>
      </c>
      <c r="BD70" s="3">
        <f t="shared" si="102"/>
        <v>0.00455719759999994</v>
      </c>
      <c r="BE70" s="3">
        <f t="shared" si="102"/>
        <v>0.00446851910000002</v>
      </c>
      <c r="BF70" s="3">
        <f t="shared" si="102"/>
        <v>0.00478065009999996</v>
      </c>
      <c r="BG70" s="3">
        <f t="shared" si="102"/>
        <v>0.00883504759999997</v>
      </c>
      <c r="BH70" s="3">
        <f t="shared" si="102"/>
        <v>0.0117981201</v>
      </c>
      <c r="BI70" s="3">
        <f t="shared" si="102"/>
        <v>0.0122799236000001</v>
      </c>
      <c r="BJ70" s="3">
        <f t="shared" si="102"/>
        <v>0.00990312909999998</v>
      </c>
      <c r="BK70" s="3">
        <f t="shared" si="102"/>
        <v>0.00868302010000003</v>
      </c>
      <c r="BL70" s="3">
        <f t="shared" si="102"/>
        <v>0.0113486086</v>
      </c>
      <c r="BM70" s="3">
        <f t="shared" si="102"/>
        <v>0.0119817231</v>
      </c>
      <c r="BN70" s="3">
        <f t="shared" si="102"/>
        <v>0.0114844326</v>
      </c>
      <c r="BO70" s="3">
        <f t="shared" si="102"/>
        <v>0.0127178411</v>
      </c>
      <c r="BP70" s="3">
        <f t="shared" si="102"/>
        <v>0.0152623881</v>
      </c>
      <c r="BQ70" s="3">
        <f t="shared" si="102"/>
        <v>0.0137298051000001</v>
      </c>
      <c r="BR70" s="3">
        <f t="shared" si="102"/>
        <v>0.0193328446000001</v>
      </c>
      <c r="BS70" s="3">
        <f t="shared" si="102"/>
        <v>0.0213173806</v>
      </c>
      <c r="BT70" s="3">
        <f t="shared" si="102"/>
        <v>0.0263546566</v>
      </c>
      <c r="BU70" s="3">
        <f t="shared" si="102"/>
        <v>0.0294119401</v>
      </c>
      <c r="BV70" s="3">
        <f t="shared" si="102"/>
        <v>0.0335772385999999</v>
      </c>
      <c r="BW70" s="3">
        <f t="shared" si="102"/>
        <v>0.0365000616</v>
      </c>
      <c r="BX70" s="3">
        <f t="shared" si="102"/>
        <v>0.0333681966000001</v>
      </c>
      <c r="BY70" s="3">
        <f t="shared" si="102"/>
        <v>0.0293299956</v>
      </c>
      <c r="BZ70" s="3">
        <f t="shared" si="102"/>
        <v>0.0299554676</v>
      </c>
      <c r="CA70" s="3">
        <f t="shared" si="102"/>
        <v>0.0258025561</v>
      </c>
      <c r="CB70" s="3">
        <f t="shared" si="102"/>
        <v>0.0282621216</v>
      </c>
      <c r="CC70" s="3">
        <f t="shared" si="102"/>
        <v>0.0274829981</v>
      </c>
      <c r="CD70" s="3">
        <f t="shared" si="102"/>
        <v>0.0336167106000001</v>
      </c>
      <c r="CE70" s="3">
        <f t="shared" si="102"/>
        <v>0.0406823406000001</v>
      </c>
      <c r="CF70" s="3">
        <f t="shared" si="102"/>
        <v>0.0412198650999999</v>
      </c>
      <c r="CG70" s="3">
        <f t="shared" si="102"/>
        <v>0.0405195485999999</v>
      </c>
      <c r="CH70" s="3">
        <f t="shared" si="102"/>
        <v>0.0411555175999999</v>
      </c>
      <c r="CI70" s="3">
        <f t="shared" si="102"/>
        <v>0.0419807976000001</v>
      </c>
      <c r="CJ70" s="3">
        <f t="shared" si="102"/>
        <v>0.0413847971</v>
      </c>
      <c r="CK70" s="3">
        <f t="shared" si="102"/>
        <v>0.0432002816</v>
      </c>
    </row>
    <row r="71" spans="29:29">
      <c r="AC71" s="50"/>
    </row>
    <row r="72" spans="29:29">
      <c r="AC72" s="50"/>
    </row>
    <row r="73" spans="29:29">
      <c r="AC73" s="50"/>
    </row>
    <row r="74" spans="29:29">
      <c r="AC74" s="50"/>
    </row>
    <row r="75" spans="29:29">
      <c r="AC75" s="50"/>
    </row>
    <row r="76" spans="29:29">
      <c r="AC76" s="50"/>
    </row>
  </sheetData>
  <mergeCells count="2">
    <mergeCell ref="F1:G2"/>
    <mergeCell ref="AA1:AC2"/>
  </mergeCells>
  <conditionalFormatting sqref="C5:C4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{abb9526e-1871-467b-81b5-cfa889b644d5}</x14:id>
        </ext>
      </extLst>
    </cfRule>
  </conditionalFormatting>
  <conditionalFormatting sqref="D5:D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{3903f73a-0966-43bd-a4e9-8befb2131e7c}</x14:id>
        </ext>
      </extLst>
    </cfRule>
  </conditionalFormatting>
  <conditionalFormatting sqref="AA5:AA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{d1d74ec2-3fd9-4697-90fd-86070f6a734c}</x14:id>
        </ext>
      </extLst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b9526e-1871-467b-81b5-cfa889b644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C5:C44</xm:sqref>
        </x14:conditionalFormatting>
        <x14:conditionalFormatting xmlns:xm="http://schemas.microsoft.com/office/excel/2006/main">
          <x14:cfRule type="dataBar" id="{3903f73a-0966-43bd-a4e9-8befb2131e7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D5:D44</xm:sqref>
        </x14:conditionalFormatting>
        <x14:conditionalFormatting xmlns:xm="http://schemas.microsoft.com/office/excel/2006/main">
          <x14:cfRule type="dataBar" id="{d1d74ec2-3fd9-4697-90fd-86070f6a7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AA5:AA44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70"/>
  <sheetViews>
    <sheetView topLeftCell="S6" workbookViewId="0">
      <selection activeCell="AD65" sqref="AD65:AY65"/>
    </sheetView>
  </sheetViews>
  <sheetFormatPr defaultColWidth="11" defaultRowHeight="17.6"/>
  <cols>
    <col min="1" max="1" width="26.1666666666667" customWidth="1"/>
    <col min="2" max="2" width="10.1666666666667" customWidth="1"/>
    <col min="3" max="3" width="15.1666666666667" customWidth="1"/>
    <col min="4" max="4" width="18" customWidth="1"/>
    <col min="5" max="5" width="16" customWidth="1"/>
    <col min="6" max="6" width="8.66666666666667" style="25" customWidth="1"/>
    <col min="7" max="13" width="12.3333333333333" customWidth="1"/>
    <col min="14" max="14" width="12.5" customWidth="1"/>
    <col min="15" max="16" width="11.8333333333333" customWidth="1"/>
    <col min="17" max="20" width="12.5" customWidth="1"/>
    <col min="21" max="21" width="13.8333333333333" customWidth="1"/>
    <col min="22" max="22" width="13.5" customWidth="1"/>
    <col min="23" max="23" width="12.5" customWidth="1"/>
    <col min="24" max="26" width="13.5" customWidth="1"/>
    <col min="27" max="27" width="13.3333333333333" customWidth="1"/>
    <col min="28" max="28" width="15.8333333333333" customWidth="1"/>
    <col min="29" max="29" width="8.66666666666667" customWidth="1"/>
    <col min="30" max="34" width="13.5" customWidth="1"/>
    <col min="35" max="35" width="12.5" customWidth="1"/>
    <col min="36" max="37" width="13" customWidth="1"/>
    <col min="38" max="51" width="14.8333333333333" customWidth="1"/>
  </cols>
  <sheetData>
    <row r="1" spans="1:29">
      <c r="A1" s="15" t="s">
        <v>0</v>
      </c>
      <c r="B1" s="15" t="s">
        <v>1</v>
      </c>
      <c r="C1" s="15" t="s">
        <v>2</v>
      </c>
      <c r="D1" s="26">
        <v>10000000</v>
      </c>
      <c r="F1" s="37" t="s">
        <v>3</v>
      </c>
      <c r="G1" s="38"/>
      <c r="AA1" s="81" t="s">
        <v>4</v>
      </c>
      <c r="AB1" s="82"/>
      <c r="AC1" s="90"/>
    </row>
    <row r="2" ht="18.35" spans="1:29">
      <c r="A2" s="15" t="s">
        <v>5</v>
      </c>
      <c r="B2" s="15" t="s">
        <v>6</v>
      </c>
      <c r="C2" s="15"/>
      <c r="F2" s="39"/>
      <c r="G2" s="40"/>
      <c r="AA2" s="83"/>
      <c r="AB2" s="84"/>
      <c r="AC2" s="91"/>
    </row>
    <row r="3" s="20" customFormat="1" ht="41.75" spans="1:51">
      <c r="A3" s="27" t="s">
        <v>7</v>
      </c>
      <c r="B3" s="28" t="s">
        <v>8</v>
      </c>
      <c r="C3" s="7" t="s">
        <v>9</v>
      </c>
      <c r="D3" s="7" t="s">
        <v>10</v>
      </c>
      <c r="E3" s="41" t="s">
        <v>11</v>
      </c>
      <c r="F3" s="42" t="s">
        <v>12</v>
      </c>
      <c r="G3" s="43" t="s">
        <v>118</v>
      </c>
      <c r="H3" s="44" t="s">
        <v>118</v>
      </c>
      <c r="I3" s="10" t="s">
        <v>118</v>
      </c>
      <c r="J3" s="10" t="s">
        <v>118</v>
      </c>
      <c r="K3" s="10" t="s">
        <v>118</v>
      </c>
      <c r="L3" s="10" t="s">
        <v>118</v>
      </c>
      <c r="M3" s="10" t="s">
        <v>118</v>
      </c>
      <c r="N3" s="44" t="s">
        <v>13</v>
      </c>
      <c r="O3" s="44" t="s">
        <v>13</v>
      </c>
      <c r="P3" s="44" t="s">
        <v>13</v>
      </c>
      <c r="Q3" s="44" t="s">
        <v>13</v>
      </c>
      <c r="R3" s="44" t="s">
        <v>13</v>
      </c>
      <c r="S3" s="44" t="s">
        <v>13</v>
      </c>
      <c r="T3" s="44" t="s">
        <v>13</v>
      </c>
      <c r="U3" s="44" t="s">
        <v>13</v>
      </c>
      <c r="V3" s="44" t="s">
        <v>13</v>
      </c>
      <c r="W3" s="44" t="s">
        <v>13</v>
      </c>
      <c r="X3" s="44" t="s">
        <v>13</v>
      </c>
      <c r="Y3" s="44" t="s">
        <v>13</v>
      </c>
      <c r="Z3" s="44" t="s">
        <v>13</v>
      </c>
      <c r="AA3" s="86" t="s">
        <v>10</v>
      </c>
      <c r="AB3" s="87" t="s">
        <v>11</v>
      </c>
      <c r="AC3" s="92" t="s">
        <v>12</v>
      </c>
      <c r="AD3" s="44" t="s">
        <v>13</v>
      </c>
      <c r="AE3" s="44" t="s">
        <v>13</v>
      </c>
      <c r="AF3" s="44" t="s">
        <v>13</v>
      </c>
      <c r="AG3" s="44" t="s">
        <v>13</v>
      </c>
      <c r="AH3" s="44" t="s">
        <v>13</v>
      </c>
      <c r="AI3" s="44" t="s">
        <v>13</v>
      </c>
      <c r="AJ3" s="44" t="s">
        <v>13</v>
      </c>
      <c r="AK3" s="44" t="s">
        <v>13</v>
      </c>
      <c r="AL3" s="44" t="s">
        <v>13</v>
      </c>
      <c r="AM3" s="44" t="s">
        <v>13</v>
      </c>
      <c r="AN3" s="44" t="s">
        <v>13</v>
      </c>
      <c r="AO3" s="44" t="s">
        <v>13</v>
      </c>
      <c r="AP3" s="44" t="s">
        <v>13</v>
      </c>
      <c r="AQ3" s="44" t="s">
        <v>13</v>
      </c>
      <c r="AR3" s="44" t="s">
        <v>13</v>
      </c>
      <c r="AS3" s="44" t="s">
        <v>13</v>
      </c>
      <c r="AT3" s="44" t="s">
        <v>13</v>
      </c>
      <c r="AU3" s="44" t="s">
        <v>13</v>
      </c>
      <c r="AV3" s="44" t="s">
        <v>13</v>
      </c>
      <c r="AW3" s="44" t="s">
        <v>13</v>
      </c>
      <c r="AX3" s="44" t="s">
        <v>13</v>
      </c>
      <c r="AY3" s="44" t="s">
        <v>13</v>
      </c>
    </row>
    <row r="4" s="20" customFormat="1" ht="41.75" spans="1:51">
      <c r="A4" s="29" t="s">
        <v>14</v>
      </c>
      <c r="B4" s="29"/>
      <c r="C4" s="10" t="s">
        <v>15</v>
      </c>
      <c r="D4" s="10" t="s">
        <v>16</v>
      </c>
      <c r="E4" s="45"/>
      <c r="F4" s="46"/>
      <c r="G4" s="47">
        <v>45847</v>
      </c>
      <c r="H4" s="48">
        <v>45848</v>
      </c>
      <c r="I4" s="73">
        <v>45849</v>
      </c>
      <c r="J4" s="73">
        <v>45852</v>
      </c>
      <c r="K4" s="73">
        <v>45853</v>
      </c>
      <c r="L4" s="73">
        <v>45854</v>
      </c>
      <c r="M4" s="73">
        <v>45855</v>
      </c>
      <c r="N4" s="73">
        <v>45856</v>
      </c>
      <c r="O4" s="73">
        <v>45859</v>
      </c>
      <c r="P4" s="73">
        <v>45860</v>
      </c>
      <c r="Q4" s="73">
        <v>45861</v>
      </c>
      <c r="R4" s="73">
        <v>45862</v>
      </c>
      <c r="S4" s="73">
        <v>45863</v>
      </c>
      <c r="T4" s="73">
        <v>45866</v>
      </c>
      <c r="U4" s="73">
        <v>45867</v>
      </c>
      <c r="V4" s="73">
        <v>45868</v>
      </c>
      <c r="W4" s="73">
        <v>45869</v>
      </c>
      <c r="X4" s="73">
        <v>45870</v>
      </c>
      <c r="Y4" s="73">
        <v>45873</v>
      </c>
      <c r="Z4" s="73">
        <v>45874</v>
      </c>
      <c r="AA4" s="88" t="s">
        <v>17</v>
      </c>
      <c r="AB4" s="89"/>
      <c r="AC4" s="93"/>
      <c r="AD4" s="73">
        <v>45875</v>
      </c>
      <c r="AE4" s="73">
        <v>45876</v>
      </c>
      <c r="AF4" s="73">
        <v>45877</v>
      </c>
      <c r="AG4" s="73">
        <v>45880</v>
      </c>
      <c r="AH4" s="73">
        <v>45881</v>
      </c>
      <c r="AI4" s="73">
        <v>45882</v>
      </c>
      <c r="AJ4" s="73">
        <v>45883</v>
      </c>
      <c r="AK4" s="73">
        <v>45884</v>
      </c>
      <c r="AL4" s="73">
        <v>45887</v>
      </c>
      <c r="AM4" s="73">
        <v>45888</v>
      </c>
      <c r="AN4" s="73">
        <v>45889</v>
      </c>
      <c r="AO4" s="73">
        <v>45890</v>
      </c>
      <c r="AP4" s="73">
        <v>45891</v>
      </c>
      <c r="AQ4" s="73">
        <v>45894</v>
      </c>
      <c r="AR4" s="73">
        <v>45895</v>
      </c>
      <c r="AS4" s="73">
        <v>45896</v>
      </c>
      <c r="AT4" s="73">
        <v>45897</v>
      </c>
      <c r="AU4" s="73">
        <v>45898</v>
      </c>
      <c r="AV4" s="73">
        <v>45901</v>
      </c>
      <c r="AW4" s="73">
        <v>45902</v>
      </c>
      <c r="AX4" s="73">
        <v>45903</v>
      </c>
      <c r="AY4" s="73">
        <v>45904</v>
      </c>
    </row>
    <row r="5" spans="1:51">
      <c r="A5" s="14" t="s">
        <v>18</v>
      </c>
      <c r="B5" s="15" t="s">
        <v>19</v>
      </c>
      <c r="C5" s="16">
        <v>0.0952</v>
      </c>
      <c r="D5" s="16">
        <v>0.0352</v>
      </c>
      <c r="E5" s="49">
        <f>D5*$D$1</f>
        <v>352000</v>
      </c>
      <c r="F5" s="50">
        <f t="shared" ref="F5:F44" si="0">ROUNDDOWN(E5/G5,0)</f>
        <v>721</v>
      </c>
      <c r="G5" s="51">
        <v>487.85</v>
      </c>
      <c r="H5" s="52">
        <v>505</v>
      </c>
      <c r="I5" s="52">
        <v>487.7</v>
      </c>
      <c r="J5" s="52">
        <v>479.55</v>
      </c>
      <c r="K5" s="52">
        <v>477.35</v>
      </c>
      <c r="L5" s="52">
        <v>475.6</v>
      </c>
      <c r="M5" s="52">
        <v>476.85</v>
      </c>
      <c r="N5" s="52">
        <v>472.75</v>
      </c>
      <c r="O5" s="77">
        <v>468.8</v>
      </c>
      <c r="P5" s="77">
        <v>465.55</v>
      </c>
      <c r="Q5" s="77">
        <v>479.95</v>
      </c>
      <c r="R5" s="77">
        <v>470.25</v>
      </c>
      <c r="S5" s="77">
        <v>488.7</v>
      </c>
      <c r="T5" s="77">
        <v>489.2</v>
      </c>
      <c r="U5" s="77">
        <v>474.8</v>
      </c>
      <c r="V5" s="77">
        <v>480.75</v>
      </c>
      <c r="W5" s="77">
        <v>472.35</v>
      </c>
      <c r="X5" s="77">
        <v>461.65</v>
      </c>
      <c r="Y5" s="77">
        <v>462.3</v>
      </c>
      <c r="Z5" s="77">
        <v>456.5</v>
      </c>
      <c r="AA5" s="13">
        <v>0.0617896124589652</v>
      </c>
      <c r="AB5" s="49">
        <f>AA5*$D$1</f>
        <v>617896.124589652</v>
      </c>
      <c r="AC5" s="50">
        <f t="shared" ref="AC5:AC44" si="1">ROUNDDOWN(AB5/AE5,0)</f>
        <v>1340</v>
      </c>
      <c r="AD5" s="77">
        <v>457.7</v>
      </c>
      <c r="AE5" s="77">
        <v>461.1</v>
      </c>
      <c r="AF5" s="77">
        <v>461.35</v>
      </c>
      <c r="AG5" s="77">
        <v>458</v>
      </c>
      <c r="AH5" s="77">
        <v>457.15</v>
      </c>
      <c r="AI5" s="77">
        <v>469.6</v>
      </c>
      <c r="AJ5" s="77">
        <v>472.9</v>
      </c>
      <c r="AK5" s="77">
        <v>476.1</v>
      </c>
      <c r="AL5" s="77">
        <v>475.85</v>
      </c>
      <c r="AM5" s="77">
        <v>489.9</v>
      </c>
      <c r="AN5" s="77">
        <v>493.55</v>
      </c>
      <c r="AO5" s="77">
        <v>485</v>
      </c>
      <c r="AP5" s="77">
        <v>495.1</v>
      </c>
      <c r="AQ5" s="77">
        <v>488.05</v>
      </c>
      <c r="AR5" s="77">
        <v>486.25</v>
      </c>
      <c r="AS5" s="77">
        <v>502</v>
      </c>
      <c r="AT5" s="77">
        <v>513.1</v>
      </c>
      <c r="AU5" s="77">
        <v>504.1</v>
      </c>
      <c r="AV5" s="77">
        <v>503.7</v>
      </c>
      <c r="AW5" s="77">
        <v>513</v>
      </c>
      <c r="AX5" s="77">
        <v>520.8</v>
      </c>
      <c r="AY5" s="77">
        <v>499.1</v>
      </c>
    </row>
    <row r="6" spans="1:51">
      <c r="A6" s="14" t="s">
        <v>20</v>
      </c>
      <c r="B6" s="15" t="s">
        <v>21</v>
      </c>
      <c r="C6" s="16">
        <v>0.0831</v>
      </c>
      <c r="D6" s="16">
        <v>0.0341</v>
      </c>
      <c r="E6" s="49">
        <f t="shared" ref="E6:E44" si="2">D6*$D$1</f>
        <v>341000</v>
      </c>
      <c r="F6" s="50">
        <f t="shared" si="0"/>
        <v>1497</v>
      </c>
      <c r="G6" s="51">
        <v>227.7</v>
      </c>
      <c r="H6" s="52">
        <v>225.45</v>
      </c>
      <c r="I6" s="52">
        <v>225.2</v>
      </c>
      <c r="J6" s="52">
        <v>223.65</v>
      </c>
      <c r="K6" s="52">
        <v>225.85</v>
      </c>
      <c r="L6" s="52">
        <v>222.55</v>
      </c>
      <c r="M6" s="52">
        <v>239.75</v>
      </c>
      <c r="N6" s="52">
        <v>237.15</v>
      </c>
      <c r="O6" s="77">
        <v>235.75</v>
      </c>
      <c r="P6" s="77">
        <v>231.8</v>
      </c>
      <c r="Q6" s="77">
        <v>236.15</v>
      </c>
      <c r="R6" s="77">
        <v>238.9</v>
      </c>
      <c r="S6" s="77">
        <v>236.25</v>
      </c>
      <c r="T6" s="77">
        <v>236.1</v>
      </c>
      <c r="U6" s="77">
        <v>238.25</v>
      </c>
      <c r="V6" s="77">
        <v>239.2</v>
      </c>
      <c r="W6" s="77">
        <v>228.25</v>
      </c>
      <c r="X6" s="77">
        <v>213.9</v>
      </c>
      <c r="Y6" s="77">
        <v>219.3</v>
      </c>
      <c r="Z6" s="77">
        <v>214.8</v>
      </c>
      <c r="AA6" s="16">
        <v>0.010914728630742</v>
      </c>
      <c r="AB6" s="49">
        <f t="shared" ref="AB6:AB44" si="3">AA6*$D$1</f>
        <v>109147.28630742</v>
      </c>
      <c r="AC6" s="50">
        <f t="shared" si="1"/>
        <v>495</v>
      </c>
      <c r="AD6" s="77">
        <v>214.85</v>
      </c>
      <c r="AE6" s="77">
        <v>220.3</v>
      </c>
      <c r="AF6" s="77">
        <v>222</v>
      </c>
      <c r="AG6" s="77">
        <v>218.65</v>
      </c>
      <c r="AH6" s="77">
        <v>222.2</v>
      </c>
      <c r="AI6" s="77">
        <v>218</v>
      </c>
      <c r="AJ6" s="77">
        <v>222</v>
      </c>
      <c r="AK6" s="77">
        <v>220.6</v>
      </c>
      <c r="AL6" s="77">
        <v>218.5</v>
      </c>
      <c r="AM6" s="77">
        <v>223.25</v>
      </c>
      <c r="AN6" s="77">
        <v>215.55</v>
      </c>
      <c r="AO6" s="77">
        <v>215</v>
      </c>
      <c r="AP6" s="77">
        <v>215.4</v>
      </c>
      <c r="AQ6" s="77">
        <v>213.25</v>
      </c>
      <c r="AR6" s="77">
        <v>210.8</v>
      </c>
      <c r="AS6" s="77">
        <v>211.45</v>
      </c>
      <c r="AT6" s="77">
        <v>213.7</v>
      </c>
      <c r="AU6" s="77">
        <v>210.05</v>
      </c>
      <c r="AV6" s="77">
        <v>210.25</v>
      </c>
      <c r="AW6" s="77">
        <v>211.1</v>
      </c>
      <c r="AX6" s="77">
        <v>217.25</v>
      </c>
      <c r="AY6" s="77">
        <v>217.25</v>
      </c>
    </row>
    <row r="7" spans="1:51">
      <c r="A7" s="14" t="s">
        <v>22</v>
      </c>
      <c r="B7" s="15" t="s">
        <v>23</v>
      </c>
      <c r="C7" s="16">
        <v>0.0728</v>
      </c>
      <c r="D7" s="16">
        <v>0.0477</v>
      </c>
      <c r="E7" s="49">
        <f t="shared" si="2"/>
        <v>477000</v>
      </c>
      <c r="F7" s="50">
        <f t="shared" si="0"/>
        <v>8952</v>
      </c>
      <c r="G7" s="51">
        <v>53.28</v>
      </c>
      <c r="H7" s="52">
        <v>53.5</v>
      </c>
      <c r="I7" s="52">
        <v>53.87</v>
      </c>
      <c r="J7" s="52">
        <v>53.34</v>
      </c>
      <c r="K7" s="52">
        <v>53.48</v>
      </c>
      <c r="L7" s="52">
        <v>53.09</v>
      </c>
      <c r="M7" s="52">
        <v>52.97</v>
      </c>
      <c r="N7" s="52">
        <v>53.15</v>
      </c>
      <c r="O7" s="77">
        <v>52.86</v>
      </c>
      <c r="P7" s="77">
        <v>52.8</v>
      </c>
      <c r="Q7" s="77">
        <v>53.34</v>
      </c>
      <c r="R7" s="77">
        <v>51.46</v>
      </c>
      <c r="S7" s="77">
        <v>51.33</v>
      </c>
      <c r="T7" s="77">
        <v>52.4</v>
      </c>
      <c r="U7" s="77">
        <v>52.53</v>
      </c>
      <c r="V7" s="77">
        <v>52.29</v>
      </c>
      <c r="W7" s="77">
        <v>52.02</v>
      </c>
      <c r="X7" s="77">
        <v>51.07</v>
      </c>
      <c r="Y7" s="77">
        <v>51.58</v>
      </c>
      <c r="Z7" s="77">
        <v>51.9</v>
      </c>
      <c r="AA7" s="16">
        <v>0.0498895287458542</v>
      </c>
      <c r="AB7" s="49">
        <f t="shared" si="3"/>
        <v>498895.287458542</v>
      </c>
      <c r="AC7" s="50">
        <f t="shared" si="1"/>
        <v>9524</v>
      </c>
      <c r="AD7" s="77">
        <v>52.5</v>
      </c>
      <c r="AE7" s="77">
        <v>52.38</v>
      </c>
      <c r="AF7" s="77">
        <v>52.71</v>
      </c>
      <c r="AG7" s="77">
        <v>52.52</v>
      </c>
      <c r="AH7" s="77">
        <v>53.17</v>
      </c>
      <c r="AI7" s="77">
        <v>52.51</v>
      </c>
      <c r="AJ7" s="77">
        <v>52.57</v>
      </c>
      <c r="AK7" s="77">
        <v>53.47</v>
      </c>
      <c r="AL7" s="77">
        <v>53.02</v>
      </c>
      <c r="AM7" s="77">
        <v>53.7</v>
      </c>
      <c r="AN7" s="77">
        <v>54.01</v>
      </c>
      <c r="AO7" s="77">
        <v>54.29</v>
      </c>
      <c r="AP7" s="77">
        <v>54.63</v>
      </c>
      <c r="AQ7" s="77">
        <v>54.1</v>
      </c>
      <c r="AR7" s="77">
        <v>52.91</v>
      </c>
      <c r="AS7" s="77">
        <v>53.21</v>
      </c>
      <c r="AT7" s="77">
        <v>53.1</v>
      </c>
      <c r="AU7" s="77">
        <v>53.5</v>
      </c>
      <c r="AV7" s="77">
        <v>53.45</v>
      </c>
      <c r="AW7" s="77">
        <v>53.53</v>
      </c>
      <c r="AX7" s="77">
        <v>52.78</v>
      </c>
      <c r="AY7" s="77">
        <v>52.76</v>
      </c>
    </row>
    <row r="8" spans="1:51">
      <c r="A8" s="14" t="s">
        <v>24</v>
      </c>
      <c r="B8" s="15" t="s">
        <v>25</v>
      </c>
      <c r="C8" s="16">
        <v>0.0641</v>
      </c>
      <c r="D8" s="16">
        <v>0.0235</v>
      </c>
      <c r="E8" s="49">
        <f t="shared" si="2"/>
        <v>235000</v>
      </c>
      <c r="F8" s="50">
        <f t="shared" si="0"/>
        <v>2820</v>
      </c>
      <c r="G8" s="51">
        <v>83.32</v>
      </c>
      <c r="H8" s="52">
        <v>84.16</v>
      </c>
      <c r="I8" s="52">
        <v>83.03</v>
      </c>
      <c r="J8" s="52">
        <v>83.54</v>
      </c>
      <c r="K8" s="52">
        <v>82.7</v>
      </c>
      <c r="L8" s="52">
        <v>83.2</v>
      </c>
      <c r="M8" s="52">
        <v>83.54</v>
      </c>
      <c r="N8" s="52">
        <v>83.12</v>
      </c>
      <c r="O8" s="77">
        <v>82.3</v>
      </c>
      <c r="P8" s="77">
        <v>82.55</v>
      </c>
      <c r="Q8" s="77">
        <v>84.65</v>
      </c>
      <c r="R8" s="77">
        <v>85.22</v>
      </c>
      <c r="S8" s="77">
        <v>85.11</v>
      </c>
      <c r="T8" s="77">
        <v>85.5</v>
      </c>
      <c r="U8" s="77">
        <v>85.85</v>
      </c>
      <c r="V8" s="77">
        <v>85.52</v>
      </c>
      <c r="W8" s="77">
        <v>78.84</v>
      </c>
      <c r="X8" s="77">
        <v>80.34</v>
      </c>
      <c r="Y8" s="77">
        <v>82</v>
      </c>
      <c r="Z8" s="77">
        <v>82.03</v>
      </c>
      <c r="AA8" s="16">
        <v>0.04227515964562</v>
      </c>
      <c r="AB8" s="49">
        <f t="shared" si="3"/>
        <v>422751.5964562</v>
      </c>
      <c r="AC8" s="50">
        <f t="shared" si="1"/>
        <v>5229</v>
      </c>
      <c r="AD8" s="77">
        <v>79.67</v>
      </c>
      <c r="AE8" s="77">
        <v>80.84</v>
      </c>
      <c r="AF8" s="77">
        <v>80.93</v>
      </c>
      <c r="AG8" s="77">
        <v>81.34</v>
      </c>
      <c r="AH8" s="77">
        <v>81.65</v>
      </c>
      <c r="AI8" s="77">
        <v>83.18</v>
      </c>
      <c r="AJ8" s="77">
        <v>83.54</v>
      </c>
      <c r="AK8" s="77">
        <v>84.95</v>
      </c>
      <c r="AL8" s="77">
        <v>85.58</v>
      </c>
      <c r="AM8" s="77">
        <v>86.49</v>
      </c>
      <c r="AN8" s="77">
        <v>87.03</v>
      </c>
      <c r="AO8" s="77">
        <v>87.47</v>
      </c>
      <c r="AP8" s="77">
        <v>87.34</v>
      </c>
      <c r="AQ8" s="77">
        <v>86.26</v>
      </c>
      <c r="AR8" s="77">
        <v>86.28</v>
      </c>
      <c r="AS8" s="77">
        <v>86.54</v>
      </c>
      <c r="AT8" s="77">
        <v>85.36</v>
      </c>
      <c r="AU8" s="77">
        <v>84.49</v>
      </c>
      <c r="AV8" s="77">
        <v>84.69</v>
      </c>
      <c r="AW8" s="77">
        <v>84.51</v>
      </c>
      <c r="AX8" s="77">
        <v>86.12</v>
      </c>
      <c r="AY8" s="77">
        <v>78.96</v>
      </c>
    </row>
    <row r="9" spans="1:51">
      <c r="A9" s="14" t="s">
        <v>26</v>
      </c>
      <c r="B9" s="15" t="s">
        <v>27</v>
      </c>
      <c r="C9" s="16">
        <v>0.0551</v>
      </c>
      <c r="D9" s="16">
        <v>0.0496</v>
      </c>
      <c r="E9" s="49">
        <f t="shared" si="2"/>
        <v>496000</v>
      </c>
      <c r="F9" s="50">
        <f t="shared" si="0"/>
        <v>2719</v>
      </c>
      <c r="G9" s="51">
        <v>182.36</v>
      </c>
      <c r="H9" s="52">
        <v>183.3</v>
      </c>
      <c r="I9" s="52">
        <v>183.22</v>
      </c>
      <c r="J9" s="52">
        <v>183</v>
      </c>
      <c r="K9" s="52">
        <v>180.14</v>
      </c>
      <c r="L9" s="52">
        <v>181</v>
      </c>
      <c r="M9" s="52">
        <v>185.28</v>
      </c>
      <c r="N9" s="52">
        <v>186.22</v>
      </c>
      <c r="O9" s="77">
        <v>186.02</v>
      </c>
      <c r="P9" s="77">
        <v>181.32</v>
      </c>
      <c r="Q9" s="77">
        <v>183.38</v>
      </c>
      <c r="R9" s="77">
        <v>182.6</v>
      </c>
      <c r="S9" s="77">
        <v>180.2</v>
      </c>
      <c r="T9" s="77">
        <v>177.64</v>
      </c>
      <c r="U9" s="77">
        <v>179.44</v>
      </c>
      <c r="V9" s="77">
        <v>178.86</v>
      </c>
      <c r="W9" s="77">
        <v>176.04</v>
      </c>
      <c r="X9" s="77">
        <v>169.1</v>
      </c>
      <c r="Y9" s="77">
        <v>172.32</v>
      </c>
      <c r="Z9" s="77">
        <v>175.2</v>
      </c>
      <c r="AA9" s="16">
        <v>0.0857851456147865</v>
      </c>
      <c r="AB9" s="49">
        <f t="shared" si="3"/>
        <v>857851.456147865</v>
      </c>
      <c r="AC9" s="50">
        <f t="shared" si="1"/>
        <v>4835</v>
      </c>
      <c r="AD9" s="77">
        <v>177.9</v>
      </c>
      <c r="AE9" s="77">
        <v>177.4</v>
      </c>
      <c r="AF9" s="77">
        <v>176.22</v>
      </c>
      <c r="AG9" s="77">
        <v>175.8</v>
      </c>
      <c r="AH9" s="77">
        <v>180.86</v>
      </c>
      <c r="AI9" s="77">
        <v>179.56</v>
      </c>
      <c r="AJ9" s="77">
        <v>183.78</v>
      </c>
      <c r="AK9" s="77">
        <v>186.88</v>
      </c>
      <c r="AL9" s="77">
        <v>184.22</v>
      </c>
      <c r="AM9" s="77">
        <v>183.84</v>
      </c>
      <c r="AN9" s="77">
        <v>179.14</v>
      </c>
      <c r="AO9" s="77">
        <v>180.92</v>
      </c>
      <c r="AP9" s="77">
        <v>180.72</v>
      </c>
      <c r="AQ9" s="77">
        <v>180.54</v>
      </c>
      <c r="AR9" s="77">
        <v>179.88</v>
      </c>
      <c r="AS9" s="77">
        <v>178.26</v>
      </c>
      <c r="AT9" s="77">
        <v>178.62</v>
      </c>
      <c r="AU9" s="77">
        <v>179.06</v>
      </c>
      <c r="AV9" s="77">
        <v>182</v>
      </c>
      <c r="AW9" s="77">
        <v>179.16</v>
      </c>
      <c r="AX9" s="77">
        <v>184.7</v>
      </c>
      <c r="AY9" s="77">
        <v>186.86</v>
      </c>
    </row>
    <row r="10" spans="1:51">
      <c r="A10" s="14" t="s">
        <v>28</v>
      </c>
      <c r="B10" s="15" t="s">
        <v>29</v>
      </c>
      <c r="C10" s="16">
        <v>0.0544</v>
      </c>
      <c r="D10" s="16">
        <v>0.0281</v>
      </c>
      <c r="E10" s="49">
        <f t="shared" si="2"/>
        <v>281000</v>
      </c>
      <c r="F10" s="50">
        <f t="shared" si="0"/>
        <v>1588</v>
      </c>
      <c r="G10" s="51">
        <v>176.92</v>
      </c>
      <c r="H10" s="52">
        <v>176.5</v>
      </c>
      <c r="I10" s="52">
        <v>175.1</v>
      </c>
      <c r="J10" s="52">
        <v>174.86</v>
      </c>
      <c r="K10" s="52">
        <v>173.8</v>
      </c>
      <c r="L10" s="52">
        <v>173.14</v>
      </c>
      <c r="M10" s="52">
        <v>173.98</v>
      </c>
      <c r="N10" s="52">
        <v>172</v>
      </c>
      <c r="O10" s="77">
        <v>172.14</v>
      </c>
      <c r="P10" s="77">
        <v>171.62</v>
      </c>
      <c r="Q10" s="77">
        <v>172.24</v>
      </c>
      <c r="R10" s="77">
        <v>172.9</v>
      </c>
      <c r="S10" s="77">
        <v>171.68</v>
      </c>
      <c r="T10" s="77">
        <v>172.4</v>
      </c>
      <c r="U10" s="77">
        <v>175.32</v>
      </c>
      <c r="V10" s="77">
        <v>174.32</v>
      </c>
      <c r="W10" s="77">
        <v>172.8</v>
      </c>
      <c r="X10" s="77">
        <v>170.22</v>
      </c>
      <c r="Y10" s="77">
        <v>172.24</v>
      </c>
      <c r="Z10" s="77">
        <v>173</v>
      </c>
      <c r="AA10" s="16">
        <v>0.0147009526845684</v>
      </c>
      <c r="AB10" s="49">
        <f t="shared" si="3"/>
        <v>147009.526845684</v>
      </c>
      <c r="AC10" s="50">
        <f t="shared" si="1"/>
        <v>846</v>
      </c>
      <c r="AD10" s="77">
        <v>171.76</v>
      </c>
      <c r="AE10" s="77">
        <v>173.58</v>
      </c>
      <c r="AF10" s="77">
        <v>173.78</v>
      </c>
      <c r="AG10" s="77">
        <v>172.5</v>
      </c>
      <c r="AH10" s="77">
        <v>173.68</v>
      </c>
      <c r="AI10" s="77">
        <v>175.74</v>
      </c>
      <c r="AJ10" s="77">
        <v>178.62</v>
      </c>
      <c r="AK10" s="77">
        <v>180.22</v>
      </c>
      <c r="AL10" s="77">
        <v>180</v>
      </c>
      <c r="AM10" s="77">
        <v>183.26</v>
      </c>
      <c r="AN10" s="77">
        <v>185</v>
      </c>
      <c r="AO10" s="77">
        <v>183.3</v>
      </c>
      <c r="AP10" s="77">
        <v>183.12</v>
      </c>
      <c r="AQ10" s="77">
        <v>180.68</v>
      </c>
      <c r="AR10" s="77">
        <v>176.66</v>
      </c>
      <c r="AS10" s="77">
        <v>178.06</v>
      </c>
      <c r="AT10" s="77">
        <v>177.4</v>
      </c>
      <c r="AU10" s="77">
        <v>176.22</v>
      </c>
      <c r="AV10" s="77">
        <v>176.3</v>
      </c>
      <c r="AW10" s="77">
        <v>174.9</v>
      </c>
      <c r="AX10" s="77">
        <v>175.74</v>
      </c>
      <c r="AY10" s="77">
        <v>176.2</v>
      </c>
    </row>
    <row r="11" spans="1:51">
      <c r="A11" s="14" t="s">
        <v>30</v>
      </c>
      <c r="B11" s="15" t="s">
        <v>31</v>
      </c>
      <c r="C11" s="16">
        <v>0.0493</v>
      </c>
      <c r="D11" s="16">
        <v>0.0489</v>
      </c>
      <c r="E11" s="49">
        <f t="shared" si="2"/>
        <v>489000</v>
      </c>
      <c r="F11" s="50">
        <f t="shared" si="0"/>
        <v>1306</v>
      </c>
      <c r="G11" s="51">
        <v>374.35</v>
      </c>
      <c r="H11" s="52">
        <v>382.25</v>
      </c>
      <c r="I11" s="52">
        <v>373.85</v>
      </c>
      <c r="J11" s="52">
        <v>373.1</v>
      </c>
      <c r="K11" s="52">
        <v>367.6</v>
      </c>
      <c r="L11" s="52">
        <v>364</v>
      </c>
      <c r="M11" s="52">
        <v>364.05</v>
      </c>
      <c r="N11" s="52">
        <v>362.55</v>
      </c>
      <c r="O11" s="77">
        <v>362.7</v>
      </c>
      <c r="P11" s="77">
        <v>367.95</v>
      </c>
      <c r="Q11" s="77">
        <v>374.95</v>
      </c>
      <c r="R11" s="77">
        <v>373.65</v>
      </c>
      <c r="S11" s="77">
        <v>374.7</v>
      </c>
      <c r="T11" s="77">
        <v>373.6</v>
      </c>
      <c r="U11" s="77">
        <v>373.6</v>
      </c>
      <c r="V11" s="77">
        <v>388.55</v>
      </c>
      <c r="W11" s="77">
        <v>389.35</v>
      </c>
      <c r="X11" s="77">
        <v>376.1</v>
      </c>
      <c r="Y11" s="77">
        <v>379.85</v>
      </c>
      <c r="Z11" s="77">
        <v>373.3</v>
      </c>
      <c r="AA11" s="16">
        <v>0.0097851478605851</v>
      </c>
      <c r="AB11" s="49">
        <f t="shared" si="3"/>
        <v>97851.478605851</v>
      </c>
      <c r="AC11" s="50">
        <f t="shared" si="1"/>
        <v>256</v>
      </c>
      <c r="AD11" s="77">
        <v>374.65</v>
      </c>
      <c r="AE11" s="77">
        <v>382.15</v>
      </c>
      <c r="AF11" s="77">
        <v>384.35</v>
      </c>
      <c r="AG11" s="77">
        <v>380.4</v>
      </c>
      <c r="AH11" s="77">
        <v>379.35</v>
      </c>
      <c r="AI11" s="77">
        <v>388.15</v>
      </c>
      <c r="AJ11" s="77">
        <v>388.75</v>
      </c>
      <c r="AK11" s="77">
        <v>392.9</v>
      </c>
      <c r="AL11" s="77">
        <v>393.3</v>
      </c>
      <c r="AM11" s="77">
        <v>400</v>
      </c>
      <c r="AN11" s="77">
        <v>406.7</v>
      </c>
      <c r="AO11" s="77">
        <v>400.7</v>
      </c>
      <c r="AP11" s="77">
        <v>399</v>
      </c>
      <c r="AQ11" s="77">
        <v>397.1</v>
      </c>
      <c r="AR11" s="77">
        <v>396.7</v>
      </c>
      <c r="AS11" s="77">
        <v>401.25</v>
      </c>
      <c r="AT11" s="77">
        <v>402.35</v>
      </c>
      <c r="AU11" s="77">
        <v>397.9</v>
      </c>
      <c r="AV11" s="77">
        <v>396.95</v>
      </c>
      <c r="AW11" s="77">
        <v>396.8</v>
      </c>
      <c r="AX11" s="77">
        <v>399.6</v>
      </c>
      <c r="AY11" s="77">
        <v>404.4</v>
      </c>
    </row>
    <row r="12" spans="1:51">
      <c r="A12" s="14" t="s">
        <v>32</v>
      </c>
      <c r="B12" s="15" t="s">
        <v>33</v>
      </c>
      <c r="C12" s="16">
        <v>0.0461</v>
      </c>
      <c r="D12" s="16">
        <v>0.04</v>
      </c>
      <c r="E12" s="49">
        <f t="shared" si="2"/>
        <v>400000</v>
      </c>
      <c r="F12" s="50">
        <f t="shared" si="0"/>
        <v>1430</v>
      </c>
      <c r="G12" s="51">
        <v>279.6</v>
      </c>
      <c r="H12" s="52">
        <v>276</v>
      </c>
      <c r="I12" s="52">
        <v>279.5</v>
      </c>
      <c r="J12" s="52">
        <v>281.2</v>
      </c>
      <c r="K12" s="52">
        <v>279.9</v>
      </c>
      <c r="L12" s="52">
        <v>280</v>
      </c>
      <c r="M12" s="52">
        <v>283.8</v>
      </c>
      <c r="N12" s="52">
        <v>285.3</v>
      </c>
      <c r="O12" s="77">
        <v>283.1</v>
      </c>
      <c r="P12" s="77">
        <v>275.5</v>
      </c>
      <c r="Q12" s="77">
        <v>278.6</v>
      </c>
      <c r="R12" s="77">
        <v>279.1</v>
      </c>
      <c r="S12" s="77">
        <v>277.5</v>
      </c>
      <c r="T12" s="77">
        <v>275.8</v>
      </c>
      <c r="U12" s="77">
        <v>281.7</v>
      </c>
      <c r="V12" s="77">
        <v>280.8</v>
      </c>
      <c r="W12" s="77">
        <v>289.5</v>
      </c>
      <c r="X12" s="77">
        <v>280.3</v>
      </c>
      <c r="Y12" s="77">
        <v>287.7</v>
      </c>
      <c r="Z12" s="77">
        <v>287.5</v>
      </c>
      <c r="AA12" s="16">
        <v>0.0391014208979526</v>
      </c>
      <c r="AB12" s="49">
        <f t="shared" si="3"/>
        <v>391014.208979526</v>
      </c>
      <c r="AC12" s="50">
        <f t="shared" si="1"/>
        <v>1342</v>
      </c>
      <c r="AD12" s="77">
        <v>290.1</v>
      </c>
      <c r="AE12" s="77">
        <v>291.2</v>
      </c>
      <c r="AF12" s="77">
        <v>291.2</v>
      </c>
      <c r="AG12" s="77">
        <v>287.2</v>
      </c>
      <c r="AH12" s="77">
        <v>290.6</v>
      </c>
      <c r="AI12" s="77">
        <v>289.4</v>
      </c>
      <c r="AJ12" s="77">
        <v>293.6</v>
      </c>
      <c r="AK12" s="77">
        <v>291.8</v>
      </c>
      <c r="AL12" s="77">
        <v>293</v>
      </c>
      <c r="AM12" s="77">
        <v>292.1</v>
      </c>
      <c r="AN12" s="77">
        <v>289.2</v>
      </c>
      <c r="AO12" s="77">
        <v>292.5</v>
      </c>
      <c r="AP12" s="77">
        <v>290.5</v>
      </c>
      <c r="AQ12" s="77">
        <v>289.9</v>
      </c>
      <c r="AR12" s="77">
        <v>288</v>
      </c>
      <c r="AS12" s="77">
        <v>287.2</v>
      </c>
      <c r="AT12" s="77">
        <v>287.8</v>
      </c>
      <c r="AU12" s="77">
        <v>284.9</v>
      </c>
      <c r="AV12" s="77">
        <v>285.6</v>
      </c>
      <c r="AW12" s="77">
        <v>279.5</v>
      </c>
      <c r="AX12" s="77">
        <v>281.6</v>
      </c>
      <c r="AY12" s="77">
        <v>280.9</v>
      </c>
    </row>
    <row r="13" spans="1:51">
      <c r="A13" s="14" t="s">
        <v>34</v>
      </c>
      <c r="B13" s="15" t="s">
        <v>35</v>
      </c>
      <c r="C13" s="16">
        <v>0.0452</v>
      </c>
      <c r="D13" s="16">
        <v>0.0614</v>
      </c>
      <c r="E13" s="49">
        <f t="shared" si="2"/>
        <v>614000</v>
      </c>
      <c r="F13" s="50">
        <f t="shared" si="0"/>
        <v>2427</v>
      </c>
      <c r="G13" s="51">
        <v>252.9</v>
      </c>
      <c r="H13" s="52">
        <v>250</v>
      </c>
      <c r="I13" s="52">
        <v>242.4</v>
      </c>
      <c r="J13" s="52">
        <v>243.8</v>
      </c>
      <c r="K13" s="52">
        <v>242.2</v>
      </c>
      <c r="L13" s="52">
        <v>242.9</v>
      </c>
      <c r="M13" s="52">
        <v>244.2</v>
      </c>
      <c r="N13" s="52">
        <v>243.8</v>
      </c>
      <c r="O13" s="77">
        <v>243.5</v>
      </c>
      <c r="P13" s="77">
        <v>242.3</v>
      </c>
      <c r="Q13" s="77">
        <v>246.2</v>
      </c>
      <c r="R13" s="77">
        <v>247.2</v>
      </c>
      <c r="S13" s="77">
        <v>249.7</v>
      </c>
      <c r="T13" s="77">
        <v>246.2</v>
      </c>
      <c r="U13" s="77">
        <v>263.2</v>
      </c>
      <c r="V13" s="77">
        <v>258.3</v>
      </c>
      <c r="W13" s="77">
        <v>260.6</v>
      </c>
      <c r="X13" s="77">
        <v>255.3</v>
      </c>
      <c r="Y13" s="77">
        <v>256.2</v>
      </c>
      <c r="Z13" s="77">
        <v>252.9</v>
      </c>
      <c r="AA13" s="16">
        <v>0.0441015798003551</v>
      </c>
      <c r="AB13" s="49">
        <f t="shared" si="3"/>
        <v>441015.798003551</v>
      </c>
      <c r="AC13" s="50">
        <f t="shared" si="1"/>
        <v>1748</v>
      </c>
      <c r="AD13" s="77">
        <v>249.3</v>
      </c>
      <c r="AE13" s="77">
        <v>252.2</v>
      </c>
      <c r="AF13" s="77">
        <v>252.9</v>
      </c>
      <c r="AG13" s="77">
        <v>251.7</v>
      </c>
      <c r="AH13" s="77">
        <v>253.8</v>
      </c>
      <c r="AI13" s="77">
        <v>261.9</v>
      </c>
      <c r="AJ13" s="77">
        <v>263.1</v>
      </c>
      <c r="AK13" s="77">
        <v>267.5</v>
      </c>
      <c r="AL13" s="77">
        <v>267.8</v>
      </c>
      <c r="AM13" s="77">
        <v>271.8</v>
      </c>
      <c r="AN13" s="77">
        <v>275.5</v>
      </c>
      <c r="AO13" s="77">
        <v>272</v>
      </c>
      <c r="AP13" s="77">
        <v>272</v>
      </c>
      <c r="AQ13" s="77">
        <v>269.2</v>
      </c>
      <c r="AR13" s="77">
        <v>265.9</v>
      </c>
      <c r="AS13" s="77">
        <v>266.5</v>
      </c>
      <c r="AT13" s="77">
        <v>263.4</v>
      </c>
      <c r="AU13" s="77">
        <v>260.2</v>
      </c>
      <c r="AV13" s="77">
        <v>258.7</v>
      </c>
      <c r="AW13" s="77">
        <v>257.1</v>
      </c>
      <c r="AX13" s="77">
        <v>258</v>
      </c>
      <c r="AY13" s="77">
        <v>260.2</v>
      </c>
    </row>
    <row r="14" spans="1:51">
      <c r="A14" s="14" t="s">
        <v>36</v>
      </c>
      <c r="B14" s="15" t="s">
        <v>37</v>
      </c>
      <c r="C14" s="16">
        <v>0.0441</v>
      </c>
      <c r="D14" s="16">
        <v>0.0818</v>
      </c>
      <c r="E14" s="49">
        <f t="shared" si="2"/>
        <v>818000</v>
      </c>
      <c r="F14" s="50">
        <f t="shared" si="0"/>
        <v>336</v>
      </c>
      <c r="G14" s="51">
        <v>2434</v>
      </c>
      <c r="H14" s="52">
        <v>2474</v>
      </c>
      <c r="I14" s="52">
        <v>2436</v>
      </c>
      <c r="J14" s="52">
        <v>2409</v>
      </c>
      <c r="K14" s="52">
        <v>2397</v>
      </c>
      <c r="L14" s="52">
        <v>2420</v>
      </c>
      <c r="M14" s="52">
        <v>2394</v>
      </c>
      <c r="N14" s="52">
        <v>2367</v>
      </c>
      <c r="O14" s="77">
        <v>2329</v>
      </c>
      <c r="P14" s="77">
        <v>2301</v>
      </c>
      <c r="Q14" s="77">
        <v>2354</v>
      </c>
      <c r="R14" s="77">
        <v>2347</v>
      </c>
      <c r="S14" s="77">
        <v>2385</v>
      </c>
      <c r="T14" s="77">
        <v>2388</v>
      </c>
      <c r="U14" s="77">
        <v>2378</v>
      </c>
      <c r="V14" s="77">
        <v>2270</v>
      </c>
      <c r="W14" s="77">
        <v>2151</v>
      </c>
      <c r="X14" s="77">
        <v>2078</v>
      </c>
      <c r="Y14" s="77">
        <v>2097</v>
      </c>
      <c r="Z14" s="77">
        <v>2095</v>
      </c>
      <c r="AA14" s="16">
        <v>0.012102820503489</v>
      </c>
      <c r="AB14" s="49">
        <f t="shared" si="3"/>
        <v>121028.20503489</v>
      </c>
      <c r="AC14" s="50">
        <f t="shared" si="1"/>
        <v>57</v>
      </c>
      <c r="AD14" s="77">
        <v>2113</v>
      </c>
      <c r="AE14" s="77">
        <v>2122</v>
      </c>
      <c r="AF14" s="77">
        <v>2114</v>
      </c>
      <c r="AG14" s="77">
        <v>2037</v>
      </c>
      <c r="AH14" s="77">
        <v>2046</v>
      </c>
      <c r="AI14" s="77">
        <v>2075</v>
      </c>
      <c r="AJ14" s="77">
        <v>2079</v>
      </c>
      <c r="AK14" s="77">
        <v>2065</v>
      </c>
      <c r="AL14" s="77">
        <v>2073</v>
      </c>
      <c r="AM14" s="77">
        <v>2106</v>
      </c>
      <c r="AN14" s="77">
        <v>2103</v>
      </c>
      <c r="AO14" s="77">
        <v>2070</v>
      </c>
      <c r="AP14" s="77">
        <v>2095</v>
      </c>
      <c r="AQ14" s="77">
        <v>2081</v>
      </c>
      <c r="AR14" s="77">
        <v>2072</v>
      </c>
      <c r="AS14" s="77">
        <v>2119</v>
      </c>
      <c r="AT14" s="77">
        <v>2125</v>
      </c>
      <c r="AU14" s="77">
        <v>2091</v>
      </c>
      <c r="AV14" s="77">
        <v>2063</v>
      </c>
      <c r="AW14" s="77">
        <v>2040</v>
      </c>
      <c r="AX14" s="77">
        <v>2047</v>
      </c>
      <c r="AY14" s="77">
        <v>2019</v>
      </c>
    </row>
    <row r="15" spans="1:51">
      <c r="A15" s="14" t="s">
        <v>38</v>
      </c>
      <c r="B15" s="15" t="s">
        <v>39</v>
      </c>
      <c r="C15" s="16">
        <v>0.0385</v>
      </c>
      <c r="D15" s="16">
        <v>0.0275</v>
      </c>
      <c r="E15" s="49">
        <f t="shared" si="2"/>
        <v>275000</v>
      </c>
      <c r="F15" s="50">
        <f t="shared" si="0"/>
        <v>6539</v>
      </c>
      <c r="G15" s="51">
        <v>42.05</v>
      </c>
      <c r="H15" s="52">
        <v>41.64</v>
      </c>
      <c r="I15" s="52">
        <v>41.69</v>
      </c>
      <c r="J15" s="52">
        <v>41.77</v>
      </c>
      <c r="K15" s="52">
        <v>41.42</v>
      </c>
      <c r="L15" s="52">
        <v>41.34</v>
      </c>
      <c r="M15" s="52">
        <v>41.59</v>
      </c>
      <c r="N15" s="52">
        <v>41.89</v>
      </c>
      <c r="O15" s="77">
        <v>42</v>
      </c>
      <c r="P15" s="77">
        <v>41.51</v>
      </c>
      <c r="Q15" s="77">
        <v>41.99</v>
      </c>
      <c r="R15" s="77">
        <v>42.2</v>
      </c>
      <c r="S15" s="77">
        <v>42.27</v>
      </c>
      <c r="T15" s="77">
        <v>42.15</v>
      </c>
      <c r="U15" s="77">
        <v>42.46</v>
      </c>
      <c r="V15" s="77">
        <v>42.61</v>
      </c>
      <c r="W15" s="77">
        <v>42.68</v>
      </c>
      <c r="X15" s="77">
        <v>39.33</v>
      </c>
      <c r="Y15" s="77">
        <v>39.98</v>
      </c>
      <c r="Z15" s="77">
        <v>40.6</v>
      </c>
      <c r="AA15" s="16">
        <v>0.0329073541046378</v>
      </c>
      <c r="AB15" s="49">
        <f t="shared" si="3"/>
        <v>329073.541046378</v>
      </c>
      <c r="AC15" s="50">
        <f t="shared" si="1"/>
        <v>7916</v>
      </c>
      <c r="AD15" s="77">
        <v>40.76</v>
      </c>
      <c r="AE15" s="77">
        <v>41.57</v>
      </c>
      <c r="AF15" s="77">
        <v>41.39</v>
      </c>
      <c r="AG15" s="77">
        <v>41.62</v>
      </c>
      <c r="AH15" s="77">
        <v>42.12</v>
      </c>
      <c r="AI15" s="77">
        <v>42.67</v>
      </c>
      <c r="AJ15" s="77">
        <v>42.89</v>
      </c>
      <c r="AK15" s="77">
        <v>43.4</v>
      </c>
      <c r="AL15" s="77">
        <v>42.78</v>
      </c>
      <c r="AM15" s="77">
        <v>42.93</v>
      </c>
      <c r="AN15" s="77">
        <v>43.31</v>
      </c>
      <c r="AO15" s="77">
        <v>43.05</v>
      </c>
      <c r="AP15" s="77">
        <v>42.59</v>
      </c>
      <c r="AQ15" s="77">
        <v>40.96</v>
      </c>
      <c r="AR15" s="77">
        <v>39.31</v>
      </c>
      <c r="AS15" s="77">
        <v>39.92</v>
      </c>
      <c r="AT15" s="77">
        <v>39.9</v>
      </c>
      <c r="AU15" s="77">
        <v>39.79</v>
      </c>
      <c r="AV15" s="77">
        <v>39.78</v>
      </c>
      <c r="AW15" s="77">
        <v>39.2</v>
      </c>
      <c r="AX15" s="77">
        <v>39.33</v>
      </c>
      <c r="AY15" s="77">
        <v>39.81</v>
      </c>
    </row>
    <row r="16" spans="1:51">
      <c r="A16" s="14" t="s">
        <v>40</v>
      </c>
      <c r="B16" s="15" t="s">
        <v>41</v>
      </c>
      <c r="C16" s="16">
        <v>0.0381</v>
      </c>
      <c r="D16" s="16">
        <v>0.0098</v>
      </c>
      <c r="E16" s="49">
        <f t="shared" si="2"/>
        <v>98000</v>
      </c>
      <c r="F16" s="50">
        <f t="shared" si="0"/>
        <v>1242</v>
      </c>
      <c r="G16" s="51">
        <v>78.87</v>
      </c>
      <c r="H16" s="52">
        <v>77.91</v>
      </c>
      <c r="I16" s="52">
        <v>76.6</v>
      </c>
      <c r="J16" s="52">
        <v>76.68</v>
      </c>
      <c r="K16" s="52">
        <v>76.23</v>
      </c>
      <c r="L16" s="52">
        <v>76.08</v>
      </c>
      <c r="M16" s="52">
        <v>77.15</v>
      </c>
      <c r="N16" s="52">
        <v>77.84</v>
      </c>
      <c r="O16" s="77">
        <v>77.74</v>
      </c>
      <c r="P16" s="77">
        <v>77.08</v>
      </c>
      <c r="Q16" s="77">
        <v>78.48</v>
      </c>
      <c r="R16" s="77">
        <v>78.79</v>
      </c>
      <c r="S16" s="77">
        <v>78.87</v>
      </c>
      <c r="T16" s="77">
        <v>77.38</v>
      </c>
      <c r="U16" s="77">
        <v>78.48</v>
      </c>
      <c r="V16" s="77">
        <v>79.07</v>
      </c>
      <c r="W16" s="77">
        <v>80.06</v>
      </c>
      <c r="X16" s="77">
        <v>76.53</v>
      </c>
      <c r="Y16" s="77">
        <v>78.5</v>
      </c>
      <c r="Z16" s="77">
        <v>78.38</v>
      </c>
      <c r="AA16" s="16">
        <v>0.002897056230505</v>
      </c>
      <c r="AB16" s="49">
        <f t="shared" si="3"/>
        <v>28970.56230505</v>
      </c>
      <c r="AC16" s="50">
        <f t="shared" si="1"/>
        <v>364</v>
      </c>
      <c r="AD16" s="77">
        <v>79.3</v>
      </c>
      <c r="AE16" s="77">
        <v>79.5</v>
      </c>
      <c r="AF16" s="77">
        <v>81.5</v>
      </c>
      <c r="AG16" s="77">
        <v>81.55</v>
      </c>
      <c r="AH16" s="77">
        <v>81.75</v>
      </c>
      <c r="AI16" s="77">
        <v>82.94</v>
      </c>
      <c r="AJ16" s="77">
        <v>83.94</v>
      </c>
      <c r="AK16" s="77">
        <v>83.7</v>
      </c>
      <c r="AL16" s="77">
        <v>82.29</v>
      </c>
      <c r="AM16" s="77">
        <v>82.86</v>
      </c>
      <c r="AN16" s="77">
        <v>83.31</v>
      </c>
      <c r="AO16" s="77">
        <v>82.72</v>
      </c>
      <c r="AP16" s="77">
        <v>83.38</v>
      </c>
      <c r="AQ16" s="77">
        <v>80.43</v>
      </c>
      <c r="AR16" s="77">
        <v>77.03</v>
      </c>
      <c r="AS16" s="77">
        <v>76.53</v>
      </c>
      <c r="AT16" s="77">
        <v>76.9</v>
      </c>
      <c r="AU16" s="77">
        <v>76.83</v>
      </c>
      <c r="AV16" s="77">
        <v>77.05</v>
      </c>
      <c r="AW16" s="77">
        <v>75.94</v>
      </c>
      <c r="AX16" s="77">
        <v>76.19</v>
      </c>
      <c r="AY16" s="77">
        <v>77.56</v>
      </c>
    </row>
    <row r="17" spans="1:51">
      <c r="A17" s="14" t="s">
        <v>42</v>
      </c>
      <c r="B17" s="15" t="s">
        <v>43</v>
      </c>
      <c r="C17" s="16">
        <v>0.0317</v>
      </c>
      <c r="D17" s="16">
        <v>0.0101</v>
      </c>
      <c r="E17" s="49">
        <f t="shared" si="2"/>
        <v>101000</v>
      </c>
      <c r="F17" s="50">
        <f t="shared" si="0"/>
        <v>794</v>
      </c>
      <c r="G17" s="51">
        <v>127.05</v>
      </c>
      <c r="H17" s="52">
        <v>126.15</v>
      </c>
      <c r="I17" s="52">
        <v>125.8</v>
      </c>
      <c r="J17" s="52">
        <v>125.25</v>
      </c>
      <c r="K17" s="52">
        <v>123.8</v>
      </c>
      <c r="L17" s="52">
        <v>122.7</v>
      </c>
      <c r="M17" s="52">
        <v>124.4</v>
      </c>
      <c r="N17" s="52">
        <v>124.8</v>
      </c>
      <c r="O17" s="77">
        <v>124.6</v>
      </c>
      <c r="P17" s="77">
        <v>122.75</v>
      </c>
      <c r="Q17" s="77">
        <v>125.05</v>
      </c>
      <c r="R17" s="77">
        <v>123.7</v>
      </c>
      <c r="S17" s="77">
        <v>124.2</v>
      </c>
      <c r="T17" s="77">
        <v>123.35</v>
      </c>
      <c r="U17" s="77">
        <v>125.15</v>
      </c>
      <c r="V17" s="77">
        <v>124.9</v>
      </c>
      <c r="W17" s="77">
        <v>121.6</v>
      </c>
      <c r="X17" s="77">
        <v>118.75</v>
      </c>
      <c r="Y17" s="77">
        <v>119.95</v>
      </c>
      <c r="Z17" s="77">
        <v>120.6</v>
      </c>
      <c r="AA17" s="16">
        <v>0.0422456155852105</v>
      </c>
      <c r="AB17" s="49">
        <f t="shared" si="3"/>
        <v>422456.155852105</v>
      </c>
      <c r="AC17" s="50">
        <f t="shared" si="1"/>
        <v>3440</v>
      </c>
      <c r="AD17" s="77">
        <v>121.4</v>
      </c>
      <c r="AE17" s="77">
        <v>122.8</v>
      </c>
      <c r="AF17" s="77">
        <v>123.65</v>
      </c>
      <c r="AG17" s="77">
        <v>124.9</v>
      </c>
      <c r="AH17" s="77">
        <v>125</v>
      </c>
      <c r="AI17" s="77">
        <v>126.6</v>
      </c>
      <c r="AJ17" s="77">
        <v>127.9</v>
      </c>
      <c r="AK17" s="77">
        <v>129.6</v>
      </c>
      <c r="AL17" s="77">
        <v>128</v>
      </c>
      <c r="AM17" s="77">
        <v>129</v>
      </c>
      <c r="AN17" s="77">
        <v>128.6</v>
      </c>
      <c r="AO17" s="77">
        <v>128.65</v>
      </c>
      <c r="AP17" s="77">
        <v>129</v>
      </c>
      <c r="AQ17" s="77">
        <v>121.5</v>
      </c>
      <c r="AR17" s="77">
        <v>114.45</v>
      </c>
      <c r="AS17" s="77">
        <v>115.7</v>
      </c>
      <c r="AT17" s="77">
        <v>117.1</v>
      </c>
      <c r="AU17" s="77">
        <v>115.9</v>
      </c>
      <c r="AV17" s="77">
        <v>115.45</v>
      </c>
      <c r="AW17" s="77">
        <v>113.05</v>
      </c>
      <c r="AX17" s="77">
        <v>114.3</v>
      </c>
      <c r="AY17" s="77">
        <v>115.9</v>
      </c>
    </row>
    <row r="18" spans="1:51">
      <c r="A18" s="14" t="s">
        <v>44</v>
      </c>
      <c r="B18" s="15" t="s">
        <v>45</v>
      </c>
      <c r="C18" s="16">
        <v>0.0252</v>
      </c>
      <c r="D18" s="16">
        <v>0.0124</v>
      </c>
      <c r="E18" s="49">
        <f t="shared" si="2"/>
        <v>124000</v>
      </c>
      <c r="F18" s="50">
        <f t="shared" si="0"/>
        <v>1825</v>
      </c>
      <c r="G18" s="51">
        <v>67.94</v>
      </c>
      <c r="H18" s="52">
        <v>68.2</v>
      </c>
      <c r="I18" s="52">
        <v>67.84</v>
      </c>
      <c r="J18" s="52">
        <v>68.22</v>
      </c>
      <c r="K18" s="52">
        <v>67.88</v>
      </c>
      <c r="L18" s="52">
        <v>67.52</v>
      </c>
      <c r="M18" s="52">
        <v>67.68</v>
      </c>
      <c r="N18" s="52">
        <v>68.06</v>
      </c>
      <c r="O18" s="77">
        <v>67.18</v>
      </c>
      <c r="P18" s="77">
        <v>67.16</v>
      </c>
      <c r="Q18" s="77">
        <v>67.18</v>
      </c>
      <c r="R18" s="77">
        <v>67.3</v>
      </c>
      <c r="S18" s="77">
        <v>66.78</v>
      </c>
      <c r="T18" s="77">
        <v>65.78</v>
      </c>
      <c r="U18" s="77">
        <v>66.36</v>
      </c>
      <c r="V18" s="77">
        <v>71.24</v>
      </c>
      <c r="W18" s="77">
        <v>71.88</v>
      </c>
      <c r="X18" s="77">
        <v>72.5</v>
      </c>
      <c r="Y18" s="77">
        <v>73.04</v>
      </c>
      <c r="Z18" s="77">
        <v>72.32</v>
      </c>
      <c r="AA18" s="16">
        <v>0.0423951048521052</v>
      </c>
      <c r="AB18" s="49">
        <f t="shared" si="3"/>
        <v>423951.048521052</v>
      </c>
      <c r="AC18" s="50">
        <f t="shared" si="1"/>
        <v>5941</v>
      </c>
      <c r="AD18" s="77">
        <v>71.78</v>
      </c>
      <c r="AE18" s="77">
        <v>71.36</v>
      </c>
      <c r="AF18" s="77">
        <v>71.9</v>
      </c>
      <c r="AG18" s="77">
        <v>70.86</v>
      </c>
      <c r="AH18" s="77">
        <v>70.78</v>
      </c>
      <c r="AI18" s="77">
        <v>71.52</v>
      </c>
      <c r="AJ18" s="77">
        <v>71.7</v>
      </c>
      <c r="AK18" s="77">
        <v>72.06</v>
      </c>
      <c r="AL18" s="77">
        <v>71.7</v>
      </c>
      <c r="AM18" s="77">
        <v>72.24</v>
      </c>
      <c r="AN18" s="77">
        <v>74.52</v>
      </c>
      <c r="AO18" s="77">
        <v>73.84</v>
      </c>
      <c r="AP18" s="77">
        <v>73.24</v>
      </c>
      <c r="AQ18" s="77">
        <v>72.7</v>
      </c>
      <c r="AR18" s="77">
        <v>72.04</v>
      </c>
      <c r="AS18" s="77">
        <v>71.72</v>
      </c>
      <c r="AT18" s="77">
        <v>71.04</v>
      </c>
      <c r="AU18" s="77">
        <v>71.18</v>
      </c>
      <c r="AV18" s="77">
        <v>71.5</v>
      </c>
      <c r="AW18" s="77">
        <v>73.32</v>
      </c>
      <c r="AX18" s="77">
        <v>74.32</v>
      </c>
      <c r="AY18" s="77">
        <v>74.98</v>
      </c>
    </row>
    <row r="19" spans="1:51">
      <c r="A19" s="14" t="s">
        <v>46</v>
      </c>
      <c r="B19" s="15" t="s">
        <v>47</v>
      </c>
      <c r="C19" s="16">
        <v>0.0233</v>
      </c>
      <c r="D19" s="16">
        <v>0.0199</v>
      </c>
      <c r="E19" s="49">
        <f t="shared" si="2"/>
        <v>199000</v>
      </c>
      <c r="F19" s="50">
        <f t="shared" si="0"/>
        <v>1959</v>
      </c>
      <c r="G19" s="51">
        <v>101.55</v>
      </c>
      <c r="H19" s="52">
        <v>101.3</v>
      </c>
      <c r="I19" s="52">
        <v>100.4</v>
      </c>
      <c r="J19" s="52">
        <v>99.74</v>
      </c>
      <c r="K19" s="52">
        <v>99.36</v>
      </c>
      <c r="L19" s="52">
        <v>96.94</v>
      </c>
      <c r="M19" s="52">
        <v>100.35</v>
      </c>
      <c r="N19" s="52">
        <v>100.55</v>
      </c>
      <c r="O19" s="77">
        <v>100.85</v>
      </c>
      <c r="P19" s="77">
        <v>98.72</v>
      </c>
      <c r="Q19" s="77">
        <v>102</v>
      </c>
      <c r="R19" s="77">
        <v>102.7</v>
      </c>
      <c r="S19" s="77">
        <v>102.15</v>
      </c>
      <c r="T19" s="77">
        <v>100.6</v>
      </c>
      <c r="U19" s="77">
        <v>101.2</v>
      </c>
      <c r="V19" s="77">
        <v>101.2</v>
      </c>
      <c r="W19" s="77">
        <v>100.3</v>
      </c>
      <c r="X19" s="77">
        <v>90.98</v>
      </c>
      <c r="Y19" s="77">
        <v>92</v>
      </c>
      <c r="Z19" s="77">
        <v>92.8</v>
      </c>
      <c r="AA19" s="16">
        <v>0.024840145341414</v>
      </c>
      <c r="AB19" s="49">
        <f t="shared" si="3"/>
        <v>248401.45341414</v>
      </c>
      <c r="AC19" s="50">
        <f t="shared" si="1"/>
        <v>2572</v>
      </c>
      <c r="AD19" s="77">
        <v>93.5</v>
      </c>
      <c r="AE19" s="77">
        <v>96.56</v>
      </c>
      <c r="AF19" s="77">
        <v>97.92</v>
      </c>
      <c r="AG19" s="77">
        <v>96.8</v>
      </c>
      <c r="AH19" s="77">
        <v>98.4</v>
      </c>
      <c r="AI19" s="77">
        <v>98.2</v>
      </c>
      <c r="AJ19" s="77">
        <v>99.12</v>
      </c>
      <c r="AK19" s="77">
        <v>99</v>
      </c>
      <c r="AL19" s="77">
        <v>97.7</v>
      </c>
      <c r="AM19" s="77">
        <v>100.65</v>
      </c>
      <c r="AN19" s="77">
        <v>97.5</v>
      </c>
      <c r="AO19" s="77">
        <v>96.4</v>
      </c>
      <c r="AP19" s="77">
        <v>98.16</v>
      </c>
      <c r="AQ19" s="77">
        <v>94.88</v>
      </c>
      <c r="AR19" s="77">
        <v>93.64</v>
      </c>
      <c r="AS19" s="77">
        <v>93.44</v>
      </c>
      <c r="AT19" s="77">
        <v>93.6</v>
      </c>
      <c r="AU19" s="77">
        <v>92.2</v>
      </c>
      <c r="AV19" s="77">
        <v>92.94</v>
      </c>
      <c r="AW19" s="77">
        <v>90.5</v>
      </c>
      <c r="AX19" s="77">
        <v>90.36</v>
      </c>
      <c r="AY19" s="77">
        <v>91.24</v>
      </c>
    </row>
    <row r="20" spans="1:51">
      <c r="A20" s="14" t="s">
        <v>48</v>
      </c>
      <c r="B20" s="15" t="s">
        <v>49</v>
      </c>
      <c r="C20" s="16">
        <v>0.0168</v>
      </c>
      <c r="D20" s="16">
        <v>0.0137</v>
      </c>
      <c r="E20" s="49">
        <f t="shared" si="2"/>
        <v>137000</v>
      </c>
      <c r="F20" s="50">
        <f t="shared" si="0"/>
        <v>6926</v>
      </c>
      <c r="G20" s="51">
        <v>19.78</v>
      </c>
      <c r="H20" s="52">
        <v>19.475</v>
      </c>
      <c r="I20" s="52">
        <v>19.67</v>
      </c>
      <c r="J20" s="52">
        <v>19.725</v>
      </c>
      <c r="K20" s="52">
        <v>19.49</v>
      </c>
      <c r="L20" s="52">
        <v>19.39</v>
      </c>
      <c r="M20" s="52">
        <v>19.375</v>
      </c>
      <c r="N20" s="52">
        <v>19.475</v>
      </c>
      <c r="O20" s="77">
        <v>19.64</v>
      </c>
      <c r="P20" s="77">
        <v>20.02</v>
      </c>
      <c r="Q20" s="77">
        <v>19.59</v>
      </c>
      <c r="R20" s="77">
        <v>19.645</v>
      </c>
      <c r="S20" s="77">
        <v>19.665</v>
      </c>
      <c r="T20" s="77">
        <v>19.6</v>
      </c>
      <c r="U20" s="77">
        <v>19.57</v>
      </c>
      <c r="V20" s="77">
        <v>19.655</v>
      </c>
      <c r="W20" s="77">
        <v>19.62</v>
      </c>
      <c r="X20" s="77">
        <v>19.14</v>
      </c>
      <c r="Y20" s="77">
        <v>19.055</v>
      </c>
      <c r="Z20" s="77">
        <v>19.045</v>
      </c>
      <c r="AA20" s="16">
        <v>0.0296194359854377</v>
      </c>
      <c r="AB20" s="49">
        <f t="shared" si="3"/>
        <v>296194.359854377</v>
      </c>
      <c r="AC20" s="50">
        <f t="shared" si="1"/>
        <v>15725</v>
      </c>
      <c r="AD20" s="77">
        <v>19.175</v>
      </c>
      <c r="AE20" s="77">
        <v>18.835</v>
      </c>
      <c r="AF20" s="77">
        <v>18.65</v>
      </c>
      <c r="AG20" s="77">
        <v>18.795</v>
      </c>
      <c r="AH20" s="77">
        <v>18.665</v>
      </c>
      <c r="AI20" s="77">
        <v>18.7</v>
      </c>
      <c r="AJ20" s="77">
        <v>18.645</v>
      </c>
      <c r="AK20" s="77">
        <v>18.91</v>
      </c>
      <c r="AL20" s="77">
        <v>18.62</v>
      </c>
      <c r="AM20" s="77">
        <v>18.62</v>
      </c>
      <c r="AN20" s="77">
        <v>18.905</v>
      </c>
      <c r="AO20" s="77">
        <v>18.895</v>
      </c>
      <c r="AP20" s="77">
        <v>18.77</v>
      </c>
      <c r="AQ20" s="77">
        <v>18.325</v>
      </c>
      <c r="AR20" s="77">
        <v>17.98</v>
      </c>
      <c r="AS20" s="77">
        <v>17.86</v>
      </c>
      <c r="AT20" s="77">
        <v>17.8</v>
      </c>
      <c r="AU20" s="77">
        <v>17.69</v>
      </c>
      <c r="AV20" s="77">
        <v>17.615</v>
      </c>
      <c r="AW20" s="77">
        <v>17.355</v>
      </c>
      <c r="AX20" s="77">
        <v>17.57</v>
      </c>
      <c r="AY20" s="77">
        <v>17.64</v>
      </c>
    </row>
    <row r="21" spans="1:51">
      <c r="A21" s="14" t="s">
        <v>50</v>
      </c>
      <c r="B21" s="15" t="s">
        <v>51</v>
      </c>
      <c r="C21" s="16">
        <v>0.016</v>
      </c>
      <c r="D21" s="16">
        <v>0.0141</v>
      </c>
      <c r="E21" s="49">
        <f t="shared" si="2"/>
        <v>141000</v>
      </c>
      <c r="F21" s="50">
        <f t="shared" si="0"/>
        <v>16195</v>
      </c>
      <c r="G21" s="51">
        <v>8.706</v>
      </c>
      <c r="H21" s="52">
        <v>9.005</v>
      </c>
      <c r="I21" s="52">
        <v>8.586</v>
      </c>
      <c r="J21" s="52">
        <v>8.434</v>
      </c>
      <c r="K21" s="52">
        <v>8.53</v>
      </c>
      <c r="L21" s="52">
        <v>8</v>
      </c>
      <c r="M21" s="52">
        <v>8.173</v>
      </c>
      <c r="N21" s="52">
        <v>7.913</v>
      </c>
      <c r="O21" s="77">
        <v>8.035</v>
      </c>
      <c r="P21" s="77">
        <v>7.881</v>
      </c>
      <c r="Q21" s="77">
        <v>8.601</v>
      </c>
      <c r="R21" s="77">
        <v>8.246</v>
      </c>
      <c r="S21" s="77">
        <v>8.505</v>
      </c>
      <c r="T21" s="77">
        <v>8.273</v>
      </c>
      <c r="U21" s="77">
        <v>8.286</v>
      </c>
      <c r="V21" s="77">
        <v>7.912</v>
      </c>
      <c r="W21" s="77">
        <v>7.763</v>
      </c>
      <c r="X21" s="77">
        <v>7.589</v>
      </c>
      <c r="Y21" s="77">
        <v>7.567</v>
      </c>
      <c r="Z21" s="77">
        <v>7.584</v>
      </c>
      <c r="AA21" s="16">
        <v>0.0075315438053778</v>
      </c>
      <c r="AB21" s="49">
        <f t="shared" si="3"/>
        <v>75315.438053778</v>
      </c>
      <c r="AC21" s="50">
        <f t="shared" si="1"/>
        <v>9538</v>
      </c>
      <c r="AD21" s="77">
        <v>7.633</v>
      </c>
      <c r="AE21" s="77">
        <v>7.896</v>
      </c>
      <c r="AF21" s="77">
        <v>8.086</v>
      </c>
      <c r="AG21" s="77">
        <v>8.02</v>
      </c>
      <c r="AH21" s="77">
        <v>8.274</v>
      </c>
      <c r="AI21" s="77">
        <v>8.276</v>
      </c>
      <c r="AJ21" s="77">
        <v>8.324</v>
      </c>
      <c r="AK21" s="77">
        <v>8.324</v>
      </c>
      <c r="AL21" s="77">
        <v>8.316</v>
      </c>
      <c r="AM21" s="77">
        <v>8.584</v>
      </c>
      <c r="AN21" s="77">
        <v>8.428</v>
      </c>
      <c r="AO21" s="77">
        <v>8.295</v>
      </c>
      <c r="AP21" s="77">
        <v>8.646</v>
      </c>
      <c r="AQ21" s="77">
        <v>8.572</v>
      </c>
      <c r="AR21" s="77">
        <v>8.412</v>
      </c>
      <c r="AS21" s="77">
        <v>8.173</v>
      </c>
      <c r="AT21" s="77">
        <v>8.215</v>
      </c>
      <c r="AU21" s="77">
        <v>8.184</v>
      </c>
      <c r="AV21" s="77">
        <v>8.23</v>
      </c>
      <c r="AW21" s="77">
        <v>8.01</v>
      </c>
      <c r="AX21" s="77">
        <v>7.792</v>
      </c>
      <c r="AY21" s="77">
        <v>7.713</v>
      </c>
    </row>
    <row r="22" spans="1:51">
      <c r="A22" s="14" t="s">
        <v>52</v>
      </c>
      <c r="B22" s="15" t="s">
        <v>53</v>
      </c>
      <c r="C22" s="16">
        <v>0.0148</v>
      </c>
      <c r="D22" s="16">
        <v>0.0419</v>
      </c>
      <c r="E22" s="49">
        <f t="shared" si="2"/>
        <v>419000</v>
      </c>
      <c r="F22" s="50">
        <f t="shared" si="0"/>
        <v>3683</v>
      </c>
      <c r="G22" s="51">
        <v>113.75</v>
      </c>
      <c r="H22" s="52">
        <v>113.4</v>
      </c>
      <c r="I22" s="52">
        <v>113.65</v>
      </c>
      <c r="J22" s="52">
        <v>112.35</v>
      </c>
      <c r="K22" s="52">
        <v>113.6</v>
      </c>
      <c r="L22" s="52">
        <v>111.55</v>
      </c>
      <c r="M22" s="52">
        <v>121.55</v>
      </c>
      <c r="N22" s="52">
        <v>124.75</v>
      </c>
      <c r="O22" s="77">
        <v>124.4</v>
      </c>
      <c r="P22" s="77">
        <v>122.75</v>
      </c>
      <c r="Q22" s="77">
        <v>123.6</v>
      </c>
      <c r="R22" s="77">
        <v>125.15</v>
      </c>
      <c r="S22" s="77">
        <v>124.65</v>
      </c>
      <c r="T22" s="77">
        <v>126.5</v>
      </c>
      <c r="U22" s="77">
        <v>126.8</v>
      </c>
      <c r="V22" s="77">
        <v>127.65</v>
      </c>
      <c r="W22" s="77">
        <v>129.95</v>
      </c>
      <c r="X22" s="77">
        <v>128.7</v>
      </c>
      <c r="Y22" s="77">
        <v>130.15</v>
      </c>
      <c r="Z22" s="77">
        <v>128.8</v>
      </c>
      <c r="AA22" s="16">
        <v>0.0396328630397997</v>
      </c>
      <c r="AB22" s="49">
        <f t="shared" si="3"/>
        <v>396328.630397997</v>
      </c>
      <c r="AC22" s="50">
        <f t="shared" si="1"/>
        <v>3045</v>
      </c>
      <c r="AD22" s="77">
        <v>129</v>
      </c>
      <c r="AE22" s="77">
        <v>130.15</v>
      </c>
      <c r="AF22" s="77">
        <v>129.75</v>
      </c>
      <c r="AG22" s="77">
        <v>129.35</v>
      </c>
      <c r="AH22" s="77">
        <v>131.4</v>
      </c>
      <c r="AI22" s="77">
        <v>130.5</v>
      </c>
      <c r="AJ22" s="77">
        <v>132</v>
      </c>
      <c r="AK22" s="77">
        <v>132.9</v>
      </c>
      <c r="AL22" s="77">
        <v>133.5</v>
      </c>
      <c r="AM22" s="77">
        <v>133.5</v>
      </c>
      <c r="AN22" s="77">
        <v>130.4</v>
      </c>
      <c r="AO22" s="77">
        <v>130.65</v>
      </c>
      <c r="AP22" s="77">
        <v>132.1</v>
      </c>
      <c r="AQ22" s="77">
        <v>130.45</v>
      </c>
      <c r="AR22" s="77">
        <v>130.2</v>
      </c>
      <c r="AS22" s="77">
        <v>129.75</v>
      </c>
      <c r="AT22" s="77">
        <v>130.8</v>
      </c>
      <c r="AU22" s="77">
        <v>130.1</v>
      </c>
      <c r="AV22" s="77">
        <v>130.2</v>
      </c>
      <c r="AW22" s="77">
        <v>127.4</v>
      </c>
      <c r="AX22" s="77">
        <v>128.35</v>
      </c>
      <c r="AY22" s="77">
        <v>130.25</v>
      </c>
    </row>
    <row r="23" spans="1:51">
      <c r="A23" s="14" t="s">
        <v>54</v>
      </c>
      <c r="B23" s="15" t="s">
        <v>55</v>
      </c>
      <c r="C23" s="16">
        <v>0.0147</v>
      </c>
      <c r="D23" s="16">
        <v>0.0293</v>
      </c>
      <c r="E23" s="49">
        <f t="shared" si="2"/>
        <v>293000</v>
      </c>
      <c r="F23" s="50">
        <f t="shared" si="0"/>
        <v>2017</v>
      </c>
      <c r="G23" s="51">
        <v>145.25</v>
      </c>
      <c r="H23" s="52">
        <v>145.4</v>
      </c>
      <c r="I23" s="52">
        <v>140.4</v>
      </c>
      <c r="J23" s="52">
        <v>137.1</v>
      </c>
      <c r="K23" s="52">
        <v>136.9</v>
      </c>
      <c r="L23" s="52">
        <v>136.65</v>
      </c>
      <c r="M23" s="52">
        <v>137.75</v>
      </c>
      <c r="N23" s="52">
        <v>137.95</v>
      </c>
      <c r="O23" s="77">
        <v>136.5</v>
      </c>
      <c r="P23" s="77">
        <v>135.1</v>
      </c>
      <c r="Q23" s="77">
        <v>136.2</v>
      </c>
      <c r="R23" s="77">
        <v>135.35</v>
      </c>
      <c r="S23" s="77">
        <v>134.05</v>
      </c>
      <c r="T23" s="77">
        <v>135</v>
      </c>
      <c r="U23" s="77">
        <v>134</v>
      </c>
      <c r="V23" s="77">
        <v>132.5</v>
      </c>
      <c r="W23" s="77">
        <v>130.9</v>
      </c>
      <c r="X23" s="77">
        <v>124.45</v>
      </c>
      <c r="Y23" s="77">
        <v>123.9</v>
      </c>
      <c r="Z23" s="77">
        <v>124.3</v>
      </c>
      <c r="AA23" s="16">
        <v>0.00236571032981</v>
      </c>
      <c r="AB23" s="49">
        <f t="shared" si="3"/>
        <v>23657.1032981</v>
      </c>
      <c r="AC23" s="50">
        <f t="shared" si="1"/>
        <v>191</v>
      </c>
      <c r="AD23" s="77">
        <v>121.5</v>
      </c>
      <c r="AE23" s="77">
        <v>123.8</v>
      </c>
      <c r="AF23" s="77">
        <v>125.6</v>
      </c>
      <c r="AG23" s="77">
        <v>123.35</v>
      </c>
      <c r="AH23" s="77">
        <v>121.3</v>
      </c>
      <c r="AI23" s="77">
        <v>123.45</v>
      </c>
      <c r="AJ23" s="77">
        <v>121.95</v>
      </c>
      <c r="AK23" s="77">
        <v>123.05</v>
      </c>
      <c r="AL23" s="77">
        <v>122.5</v>
      </c>
      <c r="AM23" s="77">
        <v>126.7</v>
      </c>
      <c r="AN23" s="77">
        <v>126.5</v>
      </c>
      <c r="AO23" s="77">
        <v>124.95</v>
      </c>
      <c r="AP23" s="77">
        <v>126.6</v>
      </c>
      <c r="AQ23" s="77">
        <v>123.9</v>
      </c>
      <c r="AR23" s="77">
        <v>122.4</v>
      </c>
      <c r="AS23" s="77">
        <v>124.05</v>
      </c>
      <c r="AT23" s="77">
        <v>124.05</v>
      </c>
      <c r="AU23" s="77">
        <v>121.45</v>
      </c>
      <c r="AV23" s="77">
        <v>120.4</v>
      </c>
      <c r="AW23" s="77">
        <v>118.1</v>
      </c>
      <c r="AX23" s="77">
        <v>121.7</v>
      </c>
      <c r="AY23" s="77">
        <v>122.15</v>
      </c>
    </row>
    <row r="24" spans="1:51">
      <c r="A24" s="14" t="s">
        <v>56</v>
      </c>
      <c r="B24" s="15" t="s">
        <v>57</v>
      </c>
      <c r="C24" s="16">
        <v>0.0141</v>
      </c>
      <c r="D24" s="16">
        <v>0.0111</v>
      </c>
      <c r="E24" s="49">
        <f t="shared" si="2"/>
        <v>111000</v>
      </c>
      <c r="F24" s="50">
        <f t="shared" si="0"/>
        <v>1249</v>
      </c>
      <c r="G24" s="51">
        <v>88.84</v>
      </c>
      <c r="H24" s="52">
        <v>90.22</v>
      </c>
      <c r="I24" s="52">
        <v>89.06</v>
      </c>
      <c r="J24" s="52">
        <v>88.94</v>
      </c>
      <c r="K24" s="52">
        <v>89.32</v>
      </c>
      <c r="L24" s="52">
        <v>89.88</v>
      </c>
      <c r="M24" s="52">
        <v>83.9</v>
      </c>
      <c r="N24" s="52">
        <v>84.1</v>
      </c>
      <c r="O24" s="77">
        <v>82.44</v>
      </c>
      <c r="P24" s="77">
        <v>83.84</v>
      </c>
      <c r="Q24" s="77">
        <v>83.86</v>
      </c>
      <c r="R24" s="77">
        <v>85.08</v>
      </c>
      <c r="S24" s="77">
        <v>83.52</v>
      </c>
      <c r="T24" s="77">
        <v>81.92</v>
      </c>
      <c r="U24" s="77">
        <v>81.76</v>
      </c>
      <c r="V24" s="77">
        <v>80.2</v>
      </c>
      <c r="W24" s="77">
        <v>80.2</v>
      </c>
      <c r="X24" s="77">
        <v>79.66</v>
      </c>
      <c r="Y24" s="77">
        <v>78.82</v>
      </c>
      <c r="Z24" s="77">
        <v>78.78</v>
      </c>
      <c r="AA24" s="16">
        <v>0.00142513198425865</v>
      </c>
      <c r="AB24" s="49">
        <f t="shared" si="3"/>
        <v>14251.3198425865</v>
      </c>
      <c r="AC24" s="50">
        <f t="shared" si="1"/>
        <v>181</v>
      </c>
      <c r="AD24" s="77">
        <v>78</v>
      </c>
      <c r="AE24" s="77">
        <v>78.64</v>
      </c>
      <c r="AF24" s="77">
        <v>78.1</v>
      </c>
      <c r="AG24" s="77">
        <v>77.6</v>
      </c>
      <c r="AH24" s="77">
        <v>75.14</v>
      </c>
      <c r="AI24" s="77">
        <v>77.08</v>
      </c>
      <c r="AJ24" s="77">
        <v>77.72</v>
      </c>
      <c r="AK24" s="77">
        <v>76.98</v>
      </c>
      <c r="AL24" s="77">
        <v>77.14</v>
      </c>
      <c r="AM24" s="77">
        <v>79.62</v>
      </c>
      <c r="AN24" s="77">
        <v>79.78</v>
      </c>
      <c r="AO24" s="77">
        <v>79.16</v>
      </c>
      <c r="AP24" s="77">
        <v>80.74</v>
      </c>
      <c r="AQ24" s="77">
        <v>79.46</v>
      </c>
      <c r="AR24" s="77">
        <v>78.48</v>
      </c>
      <c r="AS24" s="77">
        <v>79</v>
      </c>
      <c r="AT24" s="77">
        <v>79.18</v>
      </c>
      <c r="AU24" s="77">
        <v>78.84</v>
      </c>
      <c r="AV24" s="77">
        <v>78.98</v>
      </c>
      <c r="AW24" s="77">
        <v>79.06</v>
      </c>
      <c r="AX24" s="77">
        <v>81.2</v>
      </c>
      <c r="AY24" s="77">
        <v>82.5</v>
      </c>
    </row>
    <row r="25" spans="1:51">
      <c r="A25" s="14" t="s">
        <v>58</v>
      </c>
      <c r="B25" s="15" t="s">
        <v>59</v>
      </c>
      <c r="C25" s="16">
        <v>0.0136</v>
      </c>
      <c r="D25" s="16">
        <v>0.0299</v>
      </c>
      <c r="E25" s="49">
        <f t="shared" si="2"/>
        <v>299000</v>
      </c>
      <c r="F25" s="50">
        <f t="shared" si="0"/>
        <v>9279</v>
      </c>
      <c r="G25" s="51">
        <v>32.22</v>
      </c>
      <c r="H25" s="52">
        <v>32.6</v>
      </c>
      <c r="I25" s="52">
        <v>32.19</v>
      </c>
      <c r="J25" s="52">
        <v>32.17</v>
      </c>
      <c r="K25" s="52">
        <v>32.05</v>
      </c>
      <c r="L25" s="52">
        <v>31.97</v>
      </c>
      <c r="M25" s="52">
        <v>32.21</v>
      </c>
      <c r="N25" s="52">
        <v>32.21</v>
      </c>
      <c r="O25" s="77">
        <v>32.39</v>
      </c>
      <c r="P25" s="77">
        <v>32.1</v>
      </c>
      <c r="Q25" s="77">
        <v>32.54</v>
      </c>
      <c r="R25" s="77">
        <v>32.15</v>
      </c>
      <c r="S25" s="77">
        <v>31.07</v>
      </c>
      <c r="T25" s="77">
        <v>31.38</v>
      </c>
      <c r="U25" s="77">
        <v>31.5</v>
      </c>
      <c r="V25" s="77">
        <v>31.2</v>
      </c>
      <c r="W25" s="77">
        <v>31.26</v>
      </c>
      <c r="X25" s="77">
        <v>30.97</v>
      </c>
      <c r="Y25" s="77">
        <v>30.86</v>
      </c>
      <c r="Z25" s="77">
        <v>30.9</v>
      </c>
      <c r="AA25" s="16">
        <v>0.00559832151541</v>
      </c>
      <c r="AB25" s="49">
        <f t="shared" si="3"/>
        <v>55983.2151541</v>
      </c>
      <c r="AC25" s="50">
        <f t="shared" si="1"/>
        <v>1789</v>
      </c>
      <c r="AD25" s="77">
        <v>30.71</v>
      </c>
      <c r="AE25" s="77">
        <v>31.29</v>
      </c>
      <c r="AF25" s="77">
        <v>31.43</v>
      </c>
      <c r="AG25" s="77">
        <v>31.34</v>
      </c>
      <c r="AH25" s="77">
        <v>31.66</v>
      </c>
      <c r="AI25" s="77">
        <v>31.91</v>
      </c>
      <c r="AJ25" s="77">
        <v>31.9</v>
      </c>
      <c r="AK25" s="77">
        <v>32.23</v>
      </c>
      <c r="AL25" s="77">
        <v>32.12</v>
      </c>
      <c r="AM25" s="77">
        <v>32.85</v>
      </c>
      <c r="AN25" s="77">
        <v>32.77</v>
      </c>
      <c r="AO25" s="77">
        <v>32.53</v>
      </c>
      <c r="AP25" s="77">
        <v>32.55</v>
      </c>
      <c r="AQ25" s="77">
        <v>31.93</v>
      </c>
      <c r="AR25" s="77">
        <v>31.5</v>
      </c>
      <c r="AS25" s="77">
        <v>31.15</v>
      </c>
      <c r="AT25" s="77">
        <v>31.19</v>
      </c>
      <c r="AU25" s="77">
        <v>30.93</v>
      </c>
      <c r="AV25" s="77">
        <v>30.79</v>
      </c>
      <c r="AW25" s="77">
        <v>30.9</v>
      </c>
      <c r="AX25" s="77">
        <v>30.65</v>
      </c>
      <c r="AY25" s="77">
        <v>30.74</v>
      </c>
    </row>
    <row r="26" spans="1:51">
      <c r="A26" s="14" t="s">
        <v>60</v>
      </c>
      <c r="B26" s="15" t="s">
        <v>61</v>
      </c>
      <c r="C26" s="16">
        <v>0.0134</v>
      </c>
      <c r="D26" s="16">
        <v>0.0237</v>
      </c>
      <c r="E26" s="49">
        <f t="shared" si="2"/>
        <v>237000</v>
      </c>
      <c r="F26" s="50">
        <f t="shared" si="0"/>
        <v>7478</v>
      </c>
      <c r="G26" s="51">
        <v>31.69</v>
      </c>
      <c r="H26" s="52">
        <v>32.15</v>
      </c>
      <c r="I26" s="52">
        <v>31.68</v>
      </c>
      <c r="J26" s="52">
        <v>31.54</v>
      </c>
      <c r="K26" s="52">
        <v>31.82</v>
      </c>
      <c r="L26" s="52">
        <v>31.69</v>
      </c>
      <c r="M26" s="52">
        <v>32.3</v>
      </c>
      <c r="N26" s="52">
        <v>32.02</v>
      </c>
      <c r="O26" s="77">
        <v>32</v>
      </c>
      <c r="P26" s="77">
        <v>31.85</v>
      </c>
      <c r="Q26" s="77">
        <v>31.99</v>
      </c>
      <c r="R26" s="77">
        <v>29.31</v>
      </c>
      <c r="S26" s="77">
        <v>29.78</v>
      </c>
      <c r="T26" s="77">
        <v>29.68</v>
      </c>
      <c r="U26" s="77">
        <v>29.68</v>
      </c>
      <c r="V26" s="77">
        <v>29.17</v>
      </c>
      <c r="W26" s="77">
        <v>28.89</v>
      </c>
      <c r="X26" s="77">
        <v>27.94</v>
      </c>
      <c r="Y26" s="77">
        <v>27.94</v>
      </c>
      <c r="Z26" s="77">
        <v>27.75</v>
      </c>
      <c r="AA26" s="16">
        <v>0.00593214107415185</v>
      </c>
      <c r="AB26" s="49">
        <f t="shared" si="3"/>
        <v>59321.4107415185</v>
      </c>
      <c r="AC26" s="50">
        <f t="shared" si="1"/>
        <v>2150</v>
      </c>
      <c r="AD26" s="77">
        <v>27.52</v>
      </c>
      <c r="AE26" s="77">
        <v>27.58</v>
      </c>
      <c r="AF26" s="77">
        <v>27.51</v>
      </c>
      <c r="AG26" s="77">
        <v>27.17</v>
      </c>
      <c r="AH26" s="77">
        <v>26.51</v>
      </c>
      <c r="AI26" s="77">
        <v>26.77</v>
      </c>
      <c r="AJ26" s="77">
        <v>26.64</v>
      </c>
      <c r="AK26" s="77">
        <v>26.89</v>
      </c>
      <c r="AL26" s="77">
        <v>26.72</v>
      </c>
      <c r="AM26" s="77">
        <v>27</v>
      </c>
      <c r="AN26" s="77">
        <v>27.29</v>
      </c>
      <c r="AO26" s="77">
        <v>26.96</v>
      </c>
      <c r="AP26" s="77">
        <v>27.13</v>
      </c>
      <c r="AQ26" s="77">
        <v>26.79</v>
      </c>
      <c r="AR26" s="77">
        <v>26.45</v>
      </c>
      <c r="AS26" s="77">
        <v>26.84</v>
      </c>
      <c r="AT26" s="77">
        <v>26.99</v>
      </c>
      <c r="AU26" s="77">
        <v>26.6</v>
      </c>
      <c r="AV26" s="77">
        <v>26.62</v>
      </c>
      <c r="AW26" s="77">
        <v>26.33</v>
      </c>
      <c r="AX26" s="77">
        <v>26.57</v>
      </c>
      <c r="AY26" s="77">
        <v>26.74</v>
      </c>
    </row>
    <row r="27" spans="1:51">
      <c r="A27" s="14" t="s">
        <v>62</v>
      </c>
      <c r="B27" s="15" t="s">
        <v>63</v>
      </c>
      <c r="C27" s="16">
        <v>0.0132</v>
      </c>
      <c r="D27" s="16">
        <v>0.0327</v>
      </c>
      <c r="E27" s="49">
        <f t="shared" si="2"/>
        <v>327000</v>
      </c>
      <c r="F27" s="50">
        <f t="shared" si="0"/>
        <v>3528</v>
      </c>
      <c r="G27" s="51">
        <v>92.68</v>
      </c>
      <c r="H27" s="52">
        <v>96.08</v>
      </c>
      <c r="I27" s="52">
        <v>94.74</v>
      </c>
      <c r="J27" s="52">
        <v>93.62</v>
      </c>
      <c r="K27" s="52">
        <v>93.24</v>
      </c>
      <c r="L27" s="52">
        <v>92.36</v>
      </c>
      <c r="M27" s="52">
        <v>93</v>
      </c>
      <c r="N27" s="52">
        <v>94.22</v>
      </c>
      <c r="O27" s="77">
        <v>93.46</v>
      </c>
      <c r="P27" s="77">
        <v>95.76</v>
      </c>
      <c r="Q27" s="77">
        <v>95.42</v>
      </c>
      <c r="R27" s="77">
        <v>97.36</v>
      </c>
      <c r="S27" s="77">
        <v>100.05</v>
      </c>
      <c r="T27" s="77">
        <v>96.56</v>
      </c>
      <c r="U27" s="77">
        <v>94.48</v>
      </c>
      <c r="V27" s="77">
        <v>94.22</v>
      </c>
      <c r="W27" s="77">
        <v>90.36</v>
      </c>
      <c r="X27" s="77">
        <v>89.56</v>
      </c>
      <c r="Y27" s="77">
        <v>89.9</v>
      </c>
      <c r="Z27" s="77">
        <v>90.9</v>
      </c>
      <c r="AA27" s="16">
        <v>0.009968412652541</v>
      </c>
      <c r="AB27" s="49">
        <f t="shared" si="3"/>
        <v>99684.12652541</v>
      </c>
      <c r="AC27" s="50">
        <f t="shared" si="1"/>
        <v>1046</v>
      </c>
      <c r="AD27" s="77">
        <v>93.1</v>
      </c>
      <c r="AE27" s="77">
        <v>95.28</v>
      </c>
      <c r="AF27" s="77">
        <v>95.76</v>
      </c>
      <c r="AG27" s="77">
        <v>96.16</v>
      </c>
      <c r="AH27" s="77">
        <v>96.12</v>
      </c>
      <c r="AI27" s="77">
        <v>96.76</v>
      </c>
      <c r="AJ27" s="77">
        <v>96.62</v>
      </c>
      <c r="AK27" s="77">
        <v>98.3</v>
      </c>
      <c r="AL27" s="77">
        <v>97.62</v>
      </c>
      <c r="AM27" s="77">
        <v>100.9</v>
      </c>
      <c r="AN27" s="77">
        <v>103</v>
      </c>
      <c r="AO27" s="77">
        <v>101.15</v>
      </c>
      <c r="AP27" s="77">
        <v>101.85</v>
      </c>
      <c r="AQ27" s="77">
        <v>99.7</v>
      </c>
      <c r="AR27" s="77">
        <v>98.18</v>
      </c>
      <c r="AS27" s="77">
        <v>99.04</v>
      </c>
      <c r="AT27" s="77">
        <v>100.4</v>
      </c>
      <c r="AU27" s="77">
        <v>97.2</v>
      </c>
      <c r="AV27" s="77">
        <v>98.18</v>
      </c>
      <c r="AW27" s="77">
        <v>98.7</v>
      </c>
      <c r="AX27" s="77">
        <v>99.26</v>
      </c>
      <c r="AY27" s="77">
        <v>96.54</v>
      </c>
    </row>
    <row r="28" spans="1:51">
      <c r="A28" s="14" t="s">
        <v>64</v>
      </c>
      <c r="B28" s="15" t="s">
        <v>65</v>
      </c>
      <c r="C28" s="16">
        <v>0.0119</v>
      </c>
      <c r="D28" s="16">
        <v>0.0432</v>
      </c>
      <c r="E28" s="49">
        <f t="shared" si="2"/>
        <v>432000</v>
      </c>
      <c r="F28" s="50">
        <f t="shared" si="0"/>
        <v>8307</v>
      </c>
      <c r="G28" s="51">
        <v>52</v>
      </c>
      <c r="H28" s="52">
        <v>50.62</v>
      </c>
      <c r="I28" s="52">
        <v>50.06</v>
      </c>
      <c r="J28" s="52">
        <v>50.32</v>
      </c>
      <c r="K28" s="52">
        <v>49.29</v>
      </c>
      <c r="L28" s="52">
        <v>49.06</v>
      </c>
      <c r="M28" s="52">
        <v>49.64</v>
      </c>
      <c r="N28" s="52">
        <v>49.85</v>
      </c>
      <c r="O28" s="77">
        <v>50.18</v>
      </c>
      <c r="P28" s="77">
        <v>49.44</v>
      </c>
      <c r="Q28" s="77">
        <v>50.16</v>
      </c>
      <c r="R28" s="77">
        <v>51.04</v>
      </c>
      <c r="S28" s="77">
        <v>50.92</v>
      </c>
      <c r="T28" s="77">
        <v>50.82</v>
      </c>
      <c r="U28" s="77">
        <v>51.66</v>
      </c>
      <c r="V28" s="77">
        <v>52.36</v>
      </c>
      <c r="W28" s="77">
        <v>55.96</v>
      </c>
      <c r="X28" s="77">
        <v>53.98</v>
      </c>
      <c r="Y28" s="77">
        <v>54.8</v>
      </c>
      <c r="Z28" s="77">
        <v>55</v>
      </c>
      <c r="AA28" s="16">
        <v>0.0294548070473986</v>
      </c>
      <c r="AB28" s="49">
        <f t="shared" si="3"/>
        <v>294548.070473986</v>
      </c>
      <c r="AC28" s="50">
        <f t="shared" si="1"/>
        <v>5200</v>
      </c>
      <c r="AD28" s="77">
        <v>55.58</v>
      </c>
      <c r="AE28" s="77">
        <v>56.64</v>
      </c>
      <c r="AF28" s="77">
        <v>57.56</v>
      </c>
      <c r="AG28" s="77">
        <v>57.58</v>
      </c>
      <c r="AH28" s="77">
        <v>58.36</v>
      </c>
      <c r="AI28" s="77">
        <v>57.72</v>
      </c>
      <c r="AJ28" s="77">
        <v>58.5</v>
      </c>
      <c r="AK28" s="77">
        <v>58.78</v>
      </c>
      <c r="AL28" s="77">
        <v>57.76</v>
      </c>
      <c r="AM28" s="77">
        <v>58.32</v>
      </c>
      <c r="AN28" s="77">
        <v>57.42</v>
      </c>
      <c r="AO28" s="77">
        <v>57.86</v>
      </c>
      <c r="AP28" s="77">
        <v>57.84</v>
      </c>
      <c r="AQ28" s="77">
        <v>55.82</v>
      </c>
      <c r="AR28" s="77">
        <v>52</v>
      </c>
      <c r="AS28" s="77">
        <v>52</v>
      </c>
      <c r="AT28" s="77">
        <v>52.3</v>
      </c>
      <c r="AU28" s="77">
        <v>52.72</v>
      </c>
      <c r="AV28" s="77">
        <v>53.2</v>
      </c>
      <c r="AW28" s="77">
        <v>52.5</v>
      </c>
      <c r="AX28" s="77">
        <v>52.82</v>
      </c>
      <c r="AY28" s="77">
        <v>54.08</v>
      </c>
    </row>
    <row r="29" spans="1:51">
      <c r="A29" s="14" t="s">
        <v>66</v>
      </c>
      <c r="B29" s="15" t="s">
        <v>67</v>
      </c>
      <c r="C29" s="16">
        <v>0.0112</v>
      </c>
      <c r="D29" s="16">
        <v>0.0218</v>
      </c>
      <c r="E29" s="49">
        <f t="shared" si="2"/>
        <v>218000</v>
      </c>
      <c r="F29" s="50">
        <f t="shared" si="0"/>
        <v>7121</v>
      </c>
      <c r="G29" s="51">
        <v>30.61</v>
      </c>
      <c r="H29" s="52">
        <v>30.69</v>
      </c>
      <c r="I29" s="52">
        <v>30.8</v>
      </c>
      <c r="J29" s="52">
        <v>30.96</v>
      </c>
      <c r="K29" s="52">
        <v>30.24</v>
      </c>
      <c r="L29" s="52">
        <v>30.19</v>
      </c>
      <c r="M29" s="52">
        <v>29.95</v>
      </c>
      <c r="N29" s="52">
        <v>30.27</v>
      </c>
      <c r="O29" s="77">
        <v>30.62</v>
      </c>
      <c r="P29" s="77">
        <v>30.94</v>
      </c>
      <c r="Q29" s="77">
        <v>30.62</v>
      </c>
      <c r="R29" s="77">
        <v>30.7</v>
      </c>
      <c r="S29" s="77">
        <v>30.71</v>
      </c>
      <c r="T29" s="77">
        <v>30.43</v>
      </c>
      <c r="U29" s="77">
        <v>30.56</v>
      </c>
      <c r="V29" s="77">
        <v>30.24</v>
      </c>
      <c r="W29" s="77">
        <v>29.7</v>
      </c>
      <c r="X29" s="77">
        <v>29.29</v>
      </c>
      <c r="Y29" s="77">
        <v>29.55</v>
      </c>
      <c r="Z29" s="77">
        <v>29.54</v>
      </c>
      <c r="AA29" s="16">
        <v>0.00387328210695943</v>
      </c>
      <c r="AB29" s="49">
        <f t="shared" si="3"/>
        <v>38732.8210695943</v>
      </c>
      <c r="AC29" s="50">
        <f t="shared" si="1"/>
        <v>1288</v>
      </c>
      <c r="AD29" s="77">
        <v>29.66</v>
      </c>
      <c r="AE29" s="77">
        <v>30.06</v>
      </c>
      <c r="AF29" s="77">
        <v>29.95</v>
      </c>
      <c r="AG29" s="77">
        <v>29.91</v>
      </c>
      <c r="AH29" s="77">
        <v>29.83</v>
      </c>
      <c r="AI29" s="77">
        <v>29.88</v>
      </c>
      <c r="AJ29" s="77">
        <v>30.55</v>
      </c>
      <c r="AK29" s="77">
        <v>30.85</v>
      </c>
      <c r="AL29" s="77">
        <v>30.16</v>
      </c>
      <c r="AM29" s="77">
        <v>30.56</v>
      </c>
      <c r="AN29" s="77">
        <v>30.66</v>
      </c>
      <c r="AO29" s="77">
        <v>30.39</v>
      </c>
      <c r="AP29" s="77">
        <v>30.37</v>
      </c>
      <c r="AQ29" s="77">
        <v>29.21</v>
      </c>
      <c r="AR29" s="77">
        <v>28.67</v>
      </c>
      <c r="AS29" s="77">
        <v>28.34</v>
      </c>
      <c r="AT29" s="77">
        <v>28.3</v>
      </c>
      <c r="AU29" s="77">
        <v>28.21</v>
      </c>
      <c r="AV29" s="77">
        <v>27.89</v>
      </c>
      <c r="AW29" s="77">
        <v>27.57</v>
      </c>
      <c r="AX29" s="77">
        <v>28.01</v>
      </c>
      <c r="AY29" s="77">
        <v>28.42</v>
      </c>
    </row>
    <row r="30" spans="1:51">
      <c r="A30" s="14" t="s">
        <v>68</v>
      </c>
      <c r="B30" s="15" t="s">
        <v>69</v>
      </c>
      <c r="C30" s="16">
        <v>0.0107</v>
      </c>
      <c r="D30" s="16">
        <v>0.008</v>
      </c>
      <c r="E30" s="49">
        <f t="shared" si="2"/>
        <v>80000</v>
      </c>
      <c r="F30" s="50">
        <f t="shared" si="0"/>
        <v>6104</v>
      </c>
      <c r="G30" s="51">
        <v>13.105</v>
      </c>
      <c r="H30" s="52">
        <v>12.97</v>
      </c>
      <c r="I30" s="52">
        <v>12.99</v>
      </c>
      <c r="J30" s="52">
        <v>13.215</v>
      </c>
      <c r="K30" s="52">
        <v>13.07</v>
      </c>
      <c r="L30" s="52">
        <v>13.17</v>
      </c>
      <c r="M30" s="52">
        <v>13.18</v>
      </c>
      <c r="N30" s="52">
        <v>13.19</v>
      </c>
      <c r="O30" s="77">
        <v>13.065</v>
      </c>
      <c r="P30" s="77">
        <v>13.22</v>
      </c>
      <c r="Q30" s="77">
        <v>13.115</v>
      </c>
      <c r="R30" s="77">
        <v>13.3</v>
      </c>
      <c r="S30" s="77">
        <v>13.32</v>
      </c>
      <c r="T30" s="77">
        <v>13.045</v>
      </c>
      <c r="U30" s="77">
        <v>13.315</v>
      </c>
      <c r="V30" s="77">
        <v>13.33</v>
      </c>
      <c r="W30" s="77">
        <v>13.345</v>
      </c>
      <c r="X30" s="77">
        <v>13.825</v>
      </c>
      <c r="Y30" s="77">
        <v>13.735</v>
      </c>
      <c r="Z30" s="77">
        <v>13.775</v>
      </c>
      <c r="AA30" s="16">
        <v>0.050287465296565</v>
      </c>
      <c r="AB30" s="49">
        <f t="shared" si="3"/>
        <v>502874.65296565</v>
      </c>
      <c r="AC30" s="50">
        <f t="shared" si="1"/>
        <v>36413</v>
      </c>
      <c r="AD30" s="77">
        <v>13.89</v>
      </c>
      <c r="AE30" s="77">
        <v>13.81</v>
      </c>
      <c r="AF30" s="77">
        <v>13.93</v>
      </c>
      <c r="AG30" s="77">
        <v>14.15</v>
      </c>
      <c r="AH30" s="77">
        <v>14.1</v>
      </c>
      <c r="AI30" s="77">
        <v>14.3</v>
      </c>
      <c r="AJ30" s="77">
        <v>14.41</v>
      </c>
      <c r="AK30" s="77">
        <v>14.44</v>
      </c>
      <c r="AL30" s="77">
        <v>14.485</v>
      </c>
      <c r="AM30" s="77">
        <v>14.385</v>
      </c>
      <c r="AN30" s="77">
        <v>14.485</v>
      </c>
      <c r="AO30" s="77">
        <v>14.46</v>
      </c>
      <c r="AP30" s="77">
        <v>14.48</v>
      </c>
      <c r="AQ30" s="77">
        <v>14.215</v>
      </c>
      <c r="AR30" s="77">
        <v>13.875</v>
      </c>
      <c r="AS30" s="77">
        <v>13.86</v>
      </c>
      <c r="AT30" s="77">
        <v>13.735</v>
      </c>
      <c r="AU30" s="77">
        <v>13.9</v>
      </c>
      <c r="AV30" s="77">
        <v>13.89</v>
      </c>
      <c r="AW30" s="77">
        <v>13.785</v>
      </c>
      <c r="AX30" s="77">
        <v>13.525</v>
      </c>
      <c r="AY30" s="77">
        <v>13.715</v>
      </c>
    </row>
    <row r="31" spans="1:51">
      <c r="A31" s="14" t="s">
        <v>70</v>
      </c>
      <c r="B31" s="15" t="s">
        <v>71</v>
      </c>
      <c r="C31" s="16">
        <v>0.0106</v>
      </c>
      <c r="D31" s="16">
        <v>0.0098</v>
      </c>
      <c r="E31" s="49">
        <f t="shared" si="2"/>
        <v>98000</v>
      </c>
      <c r="F31" s="50">
        <f t="shared" si="0"/>
        <v>490</v>
      </c>
      <c r="G31" s="51">
        <v>199.8</v>
      </c>
      <c r="H31" s="52">
        <v>206.4</v>
      </c>
      <c r="I31" s="52">
        <v>198.68</v>
      </c>
      <c r="J31" s="52">
        <v>196.98</v>
      </c>
      <c r="K31" s="52">
        <v>196.66</v>
      </c>
      <c r="L31" s="52">
        <v>192.2</v>
      </c>
      <c r="M31" s="52">
        <v>192.4</v>
      </c>
      <c r="N31" s="52">
        <v>197.34</v>
      </c>
      <c r="O31" s="77">
        <v>197.34</v>
      </c>
      <c r="P31" s="77">
        <v>202.6</v>
      </c>
      <c r="Q31" s="77">
        <v>212.6</v>
      </c>
      <c r="R31" s="77">
        <v>212.4</v>
      </c>
      <c r="S31" s="77">
        <v>221.8</v>
      </c>
      <c r="T31" s="77">
        <v>215.9</v>
      </c>
      <c r="U31" s="77">
        <v>212.45</v>
      </c>
      <c r="V31" s="77">
        <v>215.9</v>
      </c>
      <c r="W31" s="77">
        <v>216.5</v>
      </c>
      <c r="X31" s="77">
        <v>216.15</v>
      </c>
      <c r="Y31" s="77">
        <v>215.05</v>
      </c>
      <c r="Z31" s="77">
        <v>211.4</v>
      </c>
      <c r="AA31" s="16">
        <v>0.02495265520541</v>
      </c>
      <c r="AB31" s="49">
        <f t="shared" si="3"/>
        <v>249526.5520541</v>
      </c>
      <c r="AC31" s="50">
        <f t="shared" si="1"/>
        <v>1170</v>
      </c>
      <c r="AD31" s="77">
        <v>209.25</v>
      </c>
      <c r="AE31" s="77">
        <v>213.1</v>
      </c>
      <c r="AF31" s="77">
        <v>215.65</v>
      </c>
      <c r="AG31" s="77">
        <v>213.1</v>
      </c>
      <c r="AH31" s="77">
        <v>213.35</v>
      </c>
      <c r="AI31" s="77">
        <v>217.35</v>
      </c>
      <c r="AJ31" s="77">
        <v>211.75</v>
      </c>
      <c r="AK31" s="77">
        <v>211.65</v>
      </c>
      <c r="AL31" s="77">
        <v>210.25</v>
      </c>
      <c r="AM31" s="77">
        <v>216.5</v>
      </c>
      <c r="AN31" s="77">
        <v>221.65</v>
      </c>
      <c r="AO31" s="77">
        <v>218.35</v>
      </c>
      <c r="AP31" s="77">
        <v>223.8</v>
      </c>
      <c r="AQ31" s="77">
        <v>224.25</v>
      </c>
      <c r="AR31" s="77">
        <v>225.45</v>
      </c>
      <c r="AS31" s="77">
        <v>229.5</v>
      </c>
      <c r="AT31" s="77">
        <v>235</v>
      </c>
      <c r="AU31" s="77">
        <v>229.15</v>
      </c>
      <c r="AV31" s="77">
        <v>229.8</v>
      </c>
      <c r="AW31" s="77">
        <v>238.6</v>
      </c>
      <c r="AX31" s="77">
        <v>236.45</v>
      </c>
      <c r="AY31" s="77">
        <v>232.65</v>
      </c>
    </row>
    <row r="32" spans="1:51">
      <c r="A32" s="14" t="s">
        <v>72</v>
      </c>
      <c r="B32" s="15" t="s">
        <v>73</v>
      </c>
      <c r="C32" s="16">
        <v>0.0093</v>
      </c>
      <c r="D32" s="16">
        <v>0.0037</v>
      </c>
      <c r="E32" s="49">
        <f t="shared" si="2"/>
        <v>37000</v>
      </c>
      <c r="F32" s="50">
        <f t="shared" si="0"/>
        <v>1365</v>
      </c>
      <c r="G32" s="51">
        <v>27.09</v>
      </c>
      <c r="H32" s="52">
        <v>28.265</v>
      </c>
      <c r="I32" s="52">
        <v>27.66</v>
      </c>
      <c r="J32" s="52">
        <v>27.255</v>
      </c>
      <c r="K32" s="52">
        <v>27.42</v>
      </c>
      <c r="L32" s="52">
        <v>26.875</v>
      </c>
      <c r="M32" s="52">
        <v>27.655</v>
      </c>
      <c r="N32" s="52">
        <v>27.98</v>
      </c>
      <c r="O32" s="77">
        <v>28.405</v>
      </c>
      <c r="P32" s="77">
        <v>28.16</v>
      </c>
      <c r="Q32" s="77">
        <v>26.98</v>
      </c>
      <c r="R32" s="77">
        <v>22.495</v>
      </c>
      <c r="S32" s="77">
        <v>22.245</v>
      </c>
      <c r="T32" s="77">
        <v>22.855</v>
      </c>
      <c r="U32" s="77">
        <v>22.94</v>
      </c>
      <c r="V32" s="77">
        <v>22.96</v>
      </c>
      <c r="W32" s="77">
        <v>22.455</v>
      </c>
      <c r="X32" s="77">
        <v>21.695</v>
      </c>
      <c r="Y32" s="77">
        <v>21.765</v>
      </c>
      <c r="Z32" s="77">
        <v>21.605</v>
      </c>
      <c r="AA32" s="16">
        <v>0.00192035841095</v>
      </c>
      <c r="AB32" s="49">
        <f t="shared" si="3"/>
        <v>19203.5841095</v>
      </c>
      <c r="AC32" s="50">
        <f t="shared" si="1"/>
        <v>899</v>
      </c>
      <c r="AD32" s="77">
        <v>21.3</v>
      </c>
      <c r="AE32" s="77">
        <v>21.36</v>
      </c>
      <c r="AF32" s="77">
        <v>21.765</v>
      </c>
      <c r="AG32" s="77">
        <v>21.515</v>
      </c>
      <c r="AH32" s="77">
        <v>22.415</v>
      </c>
      <c r="AI32" s="77">
        <v>22.19</v>
      </c>
      <c r="AJ32" s="77">
        <v>22.11</v>
      </c>
      <c r="AK32" s="77">
        <v>22.035</v>
      </c>
      <c r="AL32" s="77">
        <v>22.225</v>
      </c>
      <c r="AM32" s="77">
        <v>22.325</v>
      </c>
      <c r="AN32" s="77">
        <v>22.135</v>
      </c>
      <c r="AO32" s="77">
        <v>22.375</v>
      </c>
      <c r="AP32" s="77">
        <v>23.435</v>
      </c>
      <c r="AQ32" s="77">
        <v>23.53</v>
      </c>
      <c r="AR32" s="77">
        <v>23.36</v>
      </c>
      <c r="AS32" s="77">
        <v>23.25</v>
      </c>
      <c r="AT32" s="77">
        <v>23.785</v>
      </c>
      <c r="AU32" s="77">
        <v>23.25</v>
      </c>
      <c r="AV32" s="77">
        <v>23.06</v>
      </c>
      <c r="AW32" s="77">
        <v>22.185</v>
      </c>
      <c r="AX32" s="77">
        <v>21.795</v>
      </c>
      <c r="AY32" s="77">
        <v>21.97</v>
      </c>
    </row>
    <row r="33" spans="1:51">
      <c r="A33" s="14" t="s">
        <v>74</v>
      </c>
      <c r="B33" s="15" t="s">
        <v>75</v>
      </c>
      <c r="C33" s="16">
        <v>0.0087</v>
      </c>
      <c r="D33" s="16">
        <v>0.0141</v>
      </c>
      <c r="E33" s="49">
        <f t="shared" si="2"/>
        <v>141000</v>
      </c>
      <c r="F33" s="50">
        <f t="shared" si="0"/>
        <v>568</v>
      </c>
      <c r="G33" s="51">
        <v>247.9</v>
      </c>
      <c r="H33" s="52">
        <v>246.3</v>
      </c>
      <c r="I33" s="52">
        <v>251</v>
      </c>
      <c r="J33" s="52">
        <v>254.6</v>
      </c>
      <c r="K33" s="52">
        <v>248</v>
      </c>
      <c r="L33" s="52">
        <v>246.5</v>
      </c>
      <c r="M33" s="52">
        <v>248.8</v>
      </c>
      <c r="N33" s="52">
        <v>250.5</v>
      </c>
      <c r="O33" s="77">
        <v>246.5</v>
      </c>
      <c r="P33" s="77">
        <v>243.8</v>
      </c>
      <c r="Q33" s="77">
        <v>238</v>
      </c>
      <c r="R33" s="77">
        <v>238.2</v>
      </c>
      <c r="S33" s="77">
        <v>240.1</v>
      </c>
      <c r="T33" s="77">
        <v>229.7</v>
      </c>
      <c r="U33" s="77">
        <v>235.9</v>
      </c>
      <c r="V33" s="77">
        <v>235.1</v>
      </c>
      <c r="W33" s="77">
        <v>235.8</v>
      </c>
      <c r="X33" s="77">
        <v>235.5</v>
      </c>
      <c r="Y33" s="77">
        <v>236.5</v>
      </c>
      <c r="Z33" s="77">
        <v>236.9</v>
      </c>
      <c r="AA33" s="16">
        <v>0.0355452635099</v>
      </c>
      <c r="AB33" s="49">
        <f t="shared" si="3"/>
        <v>355452.635099</v>
      </c>
      <c r="AC33" s="50">
        <f t="shared" si="1"/>
        <v>1537</v>
      </c>
      <c r="AD33" s="77">
        <v>238.5</v>
      </c>
      <c r="AE33" s="77">
        <v>231.2</v>
      </c>
      <c r="AF33" s="77">
        <v>229</v>
      </c>
      <c r="AG33" s="77">
        <v>228.3</v>
      </c>
      <c r="AH33" s="77">
        <v>230.8</v>
      </c>
      <c r="AI33" s="77">
        <v>231.6</v>
      </c>
      <c r="AJ33" s="77">
        <v>237.5</v>
      </c>
      <c r="AK33" s="77">
        <v>235.4</v>
      </c>
      <c r="AL33" s="77">
        <v>238.6</v>
      </c>
      <c r="AM33" s="77">
        <v>228.8</v>
      </c>
      <c r="AN33" s="77">
        <v>229.4</v>
      </c>
      <c r="AO33" s="77">
        <v>231.3</v>
      </c>
      <c r="AP33" s="77">
        <v>232.3</v>
      </c>
      <c r="AQ33" s="77">
        <v>232.4</v>
      </c>
      <c r="AR33" s="77">
        <v>225.2</v>
      </c>
      <c r="AS33" s="77">
        <v>227.2</v>
      </c>
      <c r="AT33" s="77">
        <v>226</v>
      </c>
      <c r="AU33" s="77">
        <v>225.2</v>
      </c>
      <c r="AV33" s="77">
        <v>224.2</v>
      </c>
      <c r="AW33" s="77">
        <v>220.2</v>
      </c>
      <c r="AX33" s="77">
        <v>223.8</v>
      </c>
      <c r="AY33" s="77">
        <v>222.1</v>
      </c>
    </row>
    <row r="34" spans="1:51">
      <c r="A34" s="14" t="s">
        <v>76</v>
      </c>
      <c r="B34" s="15" t="s">
        <v>77</v>
      </c>
      <c r="C34" s="16">
        <v>0.0072</v>
      </c>
      <c r="D34" s="16">
        <v>0.0032</v>
      </c>
      <c r="E34" s="49">
        <f t="shared" si="2"/>
        <v>32000</v>
      </c>
      <c r="F34" s="50">
        <f t="shared" si="0"/>
        <v>1951</v>
      </c>
      <c r="G34" s="51">
        <v>16.4</v>
      </c>
      <c r="H34" s="52">
        <v>16.25</v>
      </c>
      <c r="I34" s="52">
        <v>16</v>
      </c>
      <c r="J34" s="52">
        <v>16.035</v>
      </c>
      <c r="K34" s="52">
        <v>15.865</v>
      </c>
      <c r="L34" s="52">
        <v>15.84</v>
      </c>
      <c r="M34" s="52">
        <v>15.98</v>
      </c>
      <c r="N34" s="52">
        <v>16.095</v>
      </c>
      <c r="O34" s="77">
        <v>16.145</v>
      </c>
      <c r="P34" s="77">
        <v>16.065</v>
      </c>
      <c r="Q34" s="77">
        <v>16.09</v>
      </c>
      <c r="R34" s="77">
        <v>16.43</v>
      </c>
      <c r="S34" s="77">
        <v>16.32</v>
      </c>
      <c r="T34" s="77">
        <v>16.19</v>
      </c>
      <c r="U34" s="77">
        <v>16.215</v>
      </c>
      <c r="V34" s="77">
        <v>16.405</v>
      </c>
      <c r="W34" s="77">
        <v>16.15</v>
      </c>
      <c r="X34" s="77">
        <v>15.92</v>
      </c>
      <c r="Y34" s="77">
        <v>16.055</v>
      </c>
      <c r="Z34" s="77">
        <v>16.08</v>
      </c>
      <c r="AA34" s="16">
        <v>0.042052145214512</v>
      </c>
      <c r="AB34" s="49">
        <f t="shared" si="3"/>
        <v>420521.45214512</v>
      </c>
      <c r="AC34" s="50">
        <f t="shared" si="1"/>
        <v>25649</v>
      </c>
      <c r="AD34" s="77">
        <v>16.28</v>
      </c>
      <c r="AE34" s="77">
        <v>16.395</v>
      </c>
      <c r="AF34" s="77">
        <v>16.92</v>
      </c>
      <c r="AG34" s="77">
        <v>17.045</v>
      </c>
      <c r="AH34" s="77">
        <v>17</v>
      </c>
      <c r="AI34" s="77">
        <v>17.03</v>
      </c>
      <c r="AJ34" s="77">
        <v>17.135</v>
      </c>
      <c r="AK34" s="77">
        <v>17.11</v>
      </c>
      <c r="AL34" s="77">
        <v>16.79</v>
      </c>
      <c r="AM34" s="77">
        <v>16.95</v>
      </c>
      <c r="AN34" s="77">
        <v>17.1</v>
      </c>
      <c r="AO34" s="77">
        <v>16.97</v>
      </c>
      <c r="AP34" s="77">
        <v>17.055</v>
      </c>
      <c r="AQ34" s="77">
        <v>16.55</v>
      </c>
      <c r="AR34" s="77">
        <v>15.65</v>
      </c>
      <c r="AS34" s="77">
        <v>15.56</v>
      </c>
      <c r="AT34" s="77">
        <v>15.69</v>
      </c>
      <c r="AU34" s="77">
        <v>15.63</v>
      </c>
      <c r="AV34" s="77">
        <v>15.62</v>
      </c>
      <c r="AW34" s="77">
        <v>15.405</v>
      </c>
      <c r="AX34" s="77">
        <v>15.515</v>
      </c>
      <c r="AY34" s="77">
        <v>15.88</v>
      </c>
    </row>
    <row r="35" spans="1:51">
      <c r="A35" s="14" t="s">
        <v>78</v>
      </c>
      <c r="B35" s="15" t="s">
        <v>79</v>
      </c>
      <c r="C35" s="16">
        <v>0.006</v>
      </c>
      <c r="D35" s="16">
        <v>0.0014</v>
      </c>
      <c r="E35" s="49">
        <f t="shared" si="2"/>
        <v>14000</v>
      </c>
      <c r="F35" s="50">
        <f t="shared" si="0"/>
        <v>501</v>
      </c>
      <c r="G35" s="51">
        <v>27.9</v>
      </c>
      <c r="H35" s="52">
        <v>28.18</v>
      </c>
      <c r="I35" s="52">
        <v>28.04</v>
      </c>
      <c r="J35" s="52">
        <v>27.94</v>
      </c>
      <c r="K35" s="52">
        <v>27.82</v>
      </c>
      <c r="L35" s="52">
        <v>27.88</v>
      </c>
      <c r="M35" s="52">
        <v>27.76</v>
      </c>
      <c r="N35" s="52">
        <v>27.94</v>
      </c>
      <c r="O35" s="77">
        <v>27.9</v>
      </c>
      <c r="P35" s="77">
        <v>27.74</v>
      </c>
      <c r="Q35" s="77">
        <v>27.76</v>
      </c>
      <c r="R35" s="77">
        <v>28.12</v>
      </c>
      <c r="S35" s="77">
        <v>27.66</v>
      </c>
      <c r="T35" s="77">
        <v>27.3</v>
      </c>
      <c r="U35" s="77">
        <v>27.12</v>
      </c>
      <c r="V35" s="77">
        <v>27</v>
      </c>
      <c r="W35" s="77">
        <v>27.04</v>
      </c>
      <c r="X35" s="77">
        <v>26.44</v>
      </c>
      <c r="Y35" s="77">
        <v>26.68</v>
      </c>
      <c r="Z35" s="77">
        <v>26.84</v>
      </c>
      <c r="AA35" s="16">
        <v>0.036548545761927</v>
      </c>
      <c r="AB35" s="49">
        <f t="shared" si="3"/>
        <v>365485.45761927</v>
      </c>
      <c r="AC35" s="50">
        <f t="shared" si="1"/>
        <v>13566</v>
      </c>
      <c r="AD35" s="77">
        <v>26.62</v>
      </c>
      <c r="AE35" s="77">
        <v>26.94</v>
      </c>
      <c r="AF35" s="77">
        <v>26.66</v>
      </c>
      <c r="AG35" s="77">
        <v>26.56</v>
      </c>
      <c r="AH35" s="77">
        <v>26.64</v>
      </c>
      <c r="AI35" s="77">
        <v>26.76</v>
      </c>
      <c r="AJ35" s="77">
        <v>26.84</v>
      </c>
      <c r="AK35" s="77">
        <v>26.82</v>
      </c>
      <c r="AL35" s="77">
        <v>26.68</v>
      </c>
      <c r="AM35" s="77">
        <v>26.96</v>
      </c>
      <c r="AN35" s="77">
        <v>27.48</v>
      </c>
      <c r="AO35" s="77">
        <v>27.02</v>
      </c>
      <c r="AP35" s="77">
        <v>27.22</v>
      </c>
      <c r="AQ35" s="77">
        <v>26.56</v>
      </c>
      <c r="AR35" s="77">
        <v>26.14</v>
      </c>
      <c r="AS35" s="77">
        <v>26.06</v>
      </c>
      <c r="AT35" s="77">
        <v>25.92</v>
      </c>
      <c r="AU35" s="77">
        <v>25.76</v>
      </c>
      <c r="AV35" s="77">
        <v>25.68</v>
      </c>
      <c r="AW35" s="77">
        <v>25.58</v>
      </c>
      <c r="AX35" s="77">
        <v>25.78</v>
      </c>
      <c r="AY35" s="77">
        <v>26.08</v>
      </c>
    </row>
    <row r="36" spans="1:51">
      <c r="A36" s="14" t="s">
        <v>80</v>
      </c>
      <c r="B36" s="15" t="s">
        <v>81</v>
      </c>
      <c r="C36" s="16">
        <v>0.0058</v>
      </c>
      <c r="D36" s="16">
        <v>0.0237</v>
      </c>
      <c r="E36" s="49">
        <f t="shared" si="2"/>
        <v>237000</v>
      </c>
      <c r="F36" s="50">
        <f t="shared" si="0"/>
        <v>4984</v>
      </c>
      <c r="G36" s="51">
        <v>47.55</v>
      </c>
      <c r="H36" s="52">
        <v>47.45</v>
      </c>
      <c r="I36" s="52">
        <v>47.36</v>
      </c>
      <c r="J36" s="52">
        <v>47.93</v>
      </c>
      <c r="K36" s="52">
        <v>47.69</v>
      </c>
      <c r="L36" s="52">
        <v>47.18</v>
      </c>
      <c r="M36" s="52">
        <v>47.61</v>
      </c>
      <c r="N36" s="52">
        <v>48.22</v>
      </c>
      <c r="O36" s="77">
        <v>48.24</v>
      </c>
      <c r="P36" s="77">
        <v>48.53</v>
      </c>
      <c r="Q36" s="77">
        <v>49.3</v>
      </c>
      <c r="R36" s="77">
        <v>49.23</v>
      </c>
      <c r="S36" s="77">
        <v>49.73</v>
      </c>
      <c r="T36" s="77">
        <v>49.47</v>
      </c>
      <c r="U36" s="77">
        <v>49.18</v>
      </c>
      <c r="V36" s="77">
        <v>49.4</v>
      </c>
      <c r="W36" s="77">
        <v>44.66</v>
      </c>
      <c r="X36" s="77">
        <v>42.28</v>
      </c>
      <c r="Y36" s="77">
        <v>42.57</v>
      </c>
      <c r="Z36" s="77">
        <v>41.92</v>
      </c>
      <c r="AA36" s="16">
        <v>0.0102574598412025</v>
      </c>
      <c r="AB36" s="49">
        <f t="shared" si="3"/>
        <v>102574.598412025</v>
      </c>
      <c r="AC36" s="50">
        <f t="shared" si="1"/>
        <v>2279</v>
      </c>
      <c r="AD36" s="77">
        <v>42.71</v>
      </c>
      <c r="AE36" s="77">
        <v>45</v>
      </c>
      <c r="AF36" s="77">
        <v>45.34</v>
      </c>
      <c r="AG36" s="77">
        <v>44</v>
      </c>
      <c r="AH36" s="77">
        <v>44.27</v>
      </c>
      <c r="AI36" s="77">
        <v>44.29</v>
      </c>
      <c r="AJ36" s="77">
        <v>44.42</v>
      </c>
      <c r="AK36" s="77">
        <v>44.69</v>
      </c>
      <c r="AL36" s="77">
        <v>44.8</v>
      </c>
      <c r="AM36" s="77">
        <v>45.19</v>
      </c>
      <c r="AN36" s="77">
        <v>44.45</v>
      </c>
      <c r="AO36" s="77">
        <v>44.35</v>
      </c>
      <c r="AP36" s="77">
        <v>44.76</v>
      </c>
      <c r="AQ36" s="77">
        <v>43.95</v>
      </c>
      <c r="AR36" s="77">
        <v>43.06</v>
      </c>
      <c r="AS36" s="77">
        <v>42.93</v>
      </c>
      <c r="AT36" s="77">
        <v>42.78</v>
      </c>
      <c r="AU36" s="77">
        <v>42.27</v>
      </c>
      <c r="AV36" s="77">
        <v>41.89</v>
      </c>
      <c r="AW36" s="77">
        <v>41.01</v>
      </c>
      <c r="AX36" s="77">
        <v>40.85</v>
      </c>
      <c r="AY36" s="77">
        <v>41.05</v>
      </c>
    </row>
    <row r="37" spans="1:51">
      <c r="A37" s="14" t="s">
        <v>82</v>
      </c>
      <c r="B37" s="15" t="s">
        <v>83</v>
      </c>
      <c r="C37" s="16">
        <v>0.0058</v>
      </c>
      <c r="D37" s="16">
        <v>0.0132</v>
      </c>
      <c r="E37" s="49">
        <f t="shared" si="2"/>
        <v>132000</v>
      </c>
      <c r="F37" s="50">
        <f t="shared" si="0"/>
        <v>3205</v>
      </c>
      <c r="G37" s="51">
        <v>41.18</v>
      </c>
      <c r="H37" s="52">
        <v>41.86</v>
      </c>
      <c r="I37" s="52">
        <v>41.2</v>
      </c>
      <c r="J37" s="52">
        <v>40.84</v>
      </c>
      <c r="K37" s="52">
        <v>41.25</v>
      </c>
      <c r="L37" s="52">
        <v>33.63</v>
      </c>
      <c r="M37" s="52">
        <v>33.4</v>
      </c>
      <c r="N37" s="52">
        <v>33.62</v>
      </c>
      <c r="O37" s="77">
        <v>33.58</v>
      </c>
      <c r="P37" s="77">
        <v>33.06</v>
      </c>
      <c r="Q37" s="77">
        <v>33.95</v>
      </c>
      <c r="R37" s="77">
        <v>33.75</v>
      </c>
      <c r="S37" s="77">
        <v>34.42</v>
      </c>
      <c r="T37" s="77">
        <v>33.96</v>
      </c>
      <c r="U37" s="77">
        <v>34.22</v>
      </c>
      <c r="V37" s="77">
        <v>33.2</v>
      </c>
      <c r="W37" s="77">
        <v>32.71</v>
      </c>
      <c r="X37" s="77">
        <v>32.19</v>
      </c>
      <c r="Y37" s="77">
        <v>31.4</v>
      </c>
      <c r="Z37" s="77">
        <v>31.23</v>
      </c>
      <c r="AA37" s="16">
        <v>0.00981951565514643</v>
      </c>
      <c r="AB37" s="49">
        <f t="shared" si="3"/>
        <v>98195.1565514643</v>
      </c>
      <c r="AC37" s="50">
        <f t="shared" si="1"/>
        <v>3092</v>
      </c>
      <c r="AD37" s="77">
        <v>31.14</v>
      </c>
      <c r="AE37" s="77">
        <v>31.75</v>
      </c>
      <c r="AF37" s="77">
        <v>32.43</v>
      </c>
      <c r="AG37" s="77">
        <v>32.37</v>
      </c>
      <c r="AH37" s="77">
        <v>32.46</v>
      </c>
      <c r="AI37" s="77">
        <v>32.76</v>
      </c>
      <c r="AJ37" s="77">
        <v>32.63</v>
      </c>
      <c r="AK37" s="77">
        <v>33.11</v>
      </c>
      <c r="AL37" s="77">
        <v>32.65</v>
      </c>
      <c r="AM37" s="77">
        <v>33.69</v>
      </c>
      <c r="AN37" s="77">
        <v>33.57</v>
      </c>
      <c r="AO37" s="77">
        <v>33.09</v>
      </c>
      <c r="AP37" s="77">
        <v>33.56</v>
      </c>
      <c r="AQ37" s="77">
        <v>33.31</v>
      </c>
      <c r="AR37" s="77">
        <v>33.11</v>
      </c>
      <c r="AS37" s="77">
        <v>32.69</v>
      </c>
      <c r="AT37" s="77">
        <v>33.88</v>
      </c>
      <c r="AU37" s="77">
        <v>33.6</v>
      </c>
      <c r="AV37" s="77">
        <v>34.04</v>
      </c>
      <c r="AW37" s="77">
        <v>33.24</v>
      </c>
      <c r="AX37" s="77">
        <v>32.56</v>
      </c>
      <c r="AY37" s="77">
        <v>32.91</v>
      </c>
    </row>
    <row r="38" spans="1:51">
      <c r="A38" s="14" t="s">
        <v>84</v>
      </c>
      <c r="B38" s="15" t="s">
        <v>85</v>
      </c>
      <c r="C38" s="16">
        <v>0.0057</v>
      </c>
      <c r="D38" s="16">
        <v>0.0045</v>
      </c>
      <c r="E38" s="49">
        <f t="shared" si="2"/>
        <v>45000</v>
      </c>
      <c r="F38" s="50">
        <f t="shared" si="0"/>
        <v>1573</v>
      </c>
      <c r="G38" s="51">
        <v>28.59</v>
      </c>
      <c r="H38" s="52">
        <v>29.62</v>
      </c>
      <c r="I38" s="52">
        <v>29.45</v>
      </c>
      <c r="J38" s="52">
        <v>29.1</v>
      </c>
      <c r="K38" s="52">
        <v>28.82</v>
      </c>
      <c r="L38" s="52">
        <v>28</v>
      </c>
      <c r="M38" s="52">
        <v>28.23</v>
      </c>
      <c r="N38" s="52">
        <v>27.98</v>
      </c>
      <c r="O38" s="77">
        <v>29.2</v>
      </c>
      <c r="P38" s="77">
        <v>29.05</v>
      </c>
      <c r="Q38" s="77">
        <v>29.13</v>
      </c>
      <c r="R38" s="77">
        <v>28.88</v>
      </c>
      <c r="S38" s="77">
        <v>28.63</v>
      </c>
      <c r="T38" s="77">
        <v>28.71</v>
      </c>
      <c r="U38" s="77">
        <v>28.35</v>
      </c>
      <c r="V38" s="77">
        <v>28.25</v>
      </c>
      <c r="W38" s="77">
        <v>27.52</v>
      </c>
      <c r="X38" s="77">
        <v>26.76</v>
      </c>
      <c r="Y38" s="77">
        <v>26.48</v>
      </c>
      <c r="Z38" s="77">
        <v>26.64</v>
      </c>
      <c r="AA38" s="16">
        <v>0.0358546209859831</v>
      </c>
      <c r="AB38" s="49">
        <f t="shared" si="3"/>
        <v>358546.209859831</v>
      </c>
      <c r="AC38" s="50">
        <f t="shared" si="1"/>
        <v>12832</v>
      </c>
      <c r="AD38" s="77">
        <v>26.78</v>
      </c>
      <c r="AE38" s="77">
        <v>27.94</v>
      </c>
      <c r="AF38" s="77">
        <v>28.82</v>
      </c>
      <c r="AG38" s="77">
        <v>28.43</v>
      </c>
      <c r="AH38" s="77">
        <v>28.64</v>
      </c>
      <c r="AI38" s="77">
        <v>28.59</v>
      </c>
      <c r="AJ38" s="77">
        <v>28.98</v>
      </c>
      <c r="AK38" s="77">
        <v>29.1</v>
      </c>
      <c r="AL38" s="77">
        <v>29.16</v>
      </c>
      <c r="AM38" s="77">
        <v>29.89</v>
      </c>
      <c r="AN38" s="77">
        <v>29.26</v>
      </c>
      <c r="AO38" s="77">
        <v>28.53</v>
      </c>
      <c r="AP38" s="77">
        <v>29.16</v>
      </c>
      <c r="AQ38" s="77">
        <v>29.23</v>
      </c>
      <c r="AR38" s="77">
        <v>28.87</v>
      </c>
      <c r="AS38" s="77">
        <v>28.37</v>
      </c>
      <c r="AT38" s="77">
        <v>28.54</v>
      </c>
      <c r="AU38" s="77">
        <v>28.46</v>
      </c>
      <c r="AV38" s="77">
        <v>28.5</v>
      </c>
      <c r="AW38" s="77">
        <v>27.5</v>
      </c>
      <c r="AX38" s="77">
        <v>27.89</v>
      </c>
      <c r="AY38" s="77">
        <v>28.35</v>
      </c>
    </row>
    <row r="39" spans="1:51">
      <c r="A39" s="14" t="s">
        <v>86</v>
      </c>
      <c r="B39" s="15" t="s">
        <v>87</v>
      </c>
      <c r="C39" s="16">
        <v>0.0052</v>
      </c>
      <c r="D39" s="16">
        <v>0.0111</v>
      </c>
      <c r="E39" s="49">
        <f t="shared" si="2"/>
        <v>111000</v>
      </c>
      <c r="F39" s="50">
        <f t="shared" si="0"/>
        <v>1378</v>
      </c>
      <c r="G39" s="51">
        <v>80.54</v>
      </c>
      <c r="H39" s="52">
        <v>80.5</v>
      </c>
      <c r="I39" s="52">
        <v>79.64</v>
      </c>
      <c r="J39" s="52">
        <v>80.46</v>
      </c>
      <c r="K39" s="52">
        <v>80.24</v>
      </c>
      <c r="L39" s="52">
        <v>79.56</v>
      </c>
      <c r="M39" s="52">
        <v>80.1</v>
      </c>
      <c r="N39" s="52">
        <v>80.84</v>
      </c>
      <c r="O39" s="77">
        <v>81.66</v>
      </c>
      <c r="P39" s="77">
        <v>81.88</v>
      </c>
      <c r="Q39" s="77">
        <v>82.36</v>
      </c>
      <c r="R39" s="77">
        <v>82.48</v>
      </c>
      <c r="S39" s="77">
        <v>82.44</v>
      </c>
      <c r="T39" s="77">
        <v>82.92</v>
      </c>
      <c r="U39" s="77">
        <v>83.42</v>
      </c>
      <c r="V39" s="77">
        <v>84.7</v>
      </c>
      <c r="W39" s="77">
        <v>85.24</v>
      </c>
      <c r="X39" s="77">
        <v>84.18</v>
      </c>
      <c r="Y39" s="77">
        <v>86</v>
      </c>
      <c r="Z39" s="77">
        <v>87.2</v>
      </c>
      <c r="AA39" s="16">
        <v>0.0505250985351144</v>
      </c>
      <c r="AB39" s="49">
        <f t="shared" si="3"/>
        <v>505250.985351144</v>
      </c>
      <c r="AC39" s="50">
        <f t="shared" si="1"/>
        <v>5698</v>
      </c>
      <c r="AD39" s="77">
        <v>88.22</v>
      </c>
      <c r="AE39" s="77">
        <v>88.66</v>
      </c>
      <c r="AF39" s="77">
        <v>88.72</v>
      </c>
      <c r="AG39" s="77">
        <v>89.06</v>
      </c>
      <c r="AH39" s="77">
        <v>88.54</v>
      </c>
      <c r="AI39" s="77">
        <v>89.04</v>
      </c>
      <c r="AJ39" s="77">
        <v>88.72</v>
      </c>
      <c r="AK39" s="77">
        <v>90.1</v>
      </c>
      <c r="AL39" s="77">
        <v>91.06</v>
      </c>
      <c r="AM39" s="77">
        <v>90.86</v>
      </c>
      <c r="AN39" s="77">
        <v>91.32</v>
      </c>
      <c r="AO39" s="77">
        <v>90.7</v>
      </c>
      <c r="AP39" s="77">
        <v>91.7</v>
      </c>
      <c r="AQ39" s="77">
        <v>90.04</v>
      </c>
      <c r="AR39" s="77">
        <v>89.06</v>
      </c>
      <c r="AS39" s="77">
        <v>88.3</v>
      </c>
      <c r="AT39" s="77">
        <v>88.26</v>
      </c>
      <c r="AU39" s="77">
        <v>88.8</v>
      </c>
      <c r="AV39" s="77">
        <v>88.88</v>
      </c>
      <c r="AW39" s="77">
        <v>86.46</v>
      </c>
      <c r="AX39" s="77">
        <v>86.78</v>
      </c>
      <c r="AY39" s="77">
        <v>86.28</v>
      </c>
    </row>
    <row r="40" spans="1:51">
      <c r="A40" s="14" t="s">
        <v>88</v>
      </c>
      <c r="B40" s="15" t="s">
        <v>89</v>
      </c>
      <c r="C40" s="16">
        <v>0.0047</v>
      </c>
      <c r="D40" s="16">
        <v>0.0039</v>
      </c>
      <c r="E40" s="49">
        <f t="shared" si="2"/>
        <v>39000</v>
      </c>
      <c r="F40" s="50">
        <f t="shared" si="0"/>
        <v>1424</v>
      </c>
      <c r="G40" s="51">
        <v>27.37</v>
      </c>
      <c r="H40" s="52">
        <v>27.08</v>
      </c>
      <c r="I40" s="52">
        <v>26.2</v>
      </c>
      <c r="J40" s="52">
        <v>26.1</v>
      </c>
      <c r="K40" s="52">
        <v>26.15</v>
      </c>
      <c r="L40" s="52">
        <v>25.59</v>
      </c>
      <c r="M40" s="52">
        <v>25.95</v>
      </c>
      <c r="N40" s="52">
        <v>26.24</v>
      </c>
      <c r="O40" s="77">
        <v>26.05</v>
      </c>
      <c r="P40" s="77">
        <v>26.41</v>
      </c>
      <c r="Q40" s="77">
        <v>26.77</v>
      </c>
      <c r="R40" s="77">
        <v>26.52</v>
      </c>
      <c r="S40" s="77">
        <v>27.2</v>
      </c>
      <c r="T40" s="77">
        <v>26.92</v>
      </c>
      <c r="U40" s="77">
        <v>25.97</v>
      </c>
      <c r="V40" s="77">
        <v>25.55</v>
      </c>
      <c r="W40" s="77">
        <v>25.12</v>
      </c>
      <c r="X40" s="77">
        <v>24.1</v>
      </c>
      <c r="Y40" s="77">
        <v>24.21</v>
      </c>
      <c r="Z40" s="77">
        <v>24.5</v>
      </c>
      <c r="AA40" s="16">
        <v>0.00298541709298415</v>
      </c>
      <c r="AB40" s="49">
        <f t="shared" si="3"/>
        <v>29854.1709298415</v>
      </c>
      <c r="AC40" s="50">
        <f t="shared" si="1"/>
        <v>1159</v>
      </c>
      <c r="AD40" s="77">
        <v>25.22</v>
      </c>
      <c r="AE40" s="77">
        <v>25.74</v>
      </c>
      <c r="AF40" s="77">
        <v>25.93</v>
      </c>
      <c r="AG40" s="77">
        <v>25.6</v>
      </c>
      <c r="AH40" s="77">
        <v>25.73</v>
      </c>
      <c r="AI40" s="77">
        <v>26.18</v>
      </c>
      <c r="AJ40" s="77">
        <v>26.04</v>
      </c>
      <c r="AK40" s="77">
        <v>26.22</v>
      </c>
      <c r="AL40" s="77">
        <v>26.17</v>
      </c>
      <c r="AM40" s="77">
        <v>26.25</v>
      </c>
      <c r="AN40" s="77">
        <v>26.33</v>
      </c>
      <c r="AO40" s="77">
        <v>26.22</v>
      </c>
      <c r="AP40" s="77">
        <v>26.73</v>
      </c>
      <c r="AQ40" s="77">
        <v>26.6</v>
      </c>
      <c r="AR40" s="77">
        <v>25.29</v>
      </c>
      <c r="AS40" s="77">
        <v>24.9</v>
      </c>
      <c r="AT40" s="77">
        <v>24.76</v>
      </c>
      <c r="AU40" s="77">
        <v>24.7</v>
      </c>
      <c r="AV40" s="77">
        <v>24.5</v>
      </c>
      <c r="AW40" s="77">
        <v>23.81</v>
      </c>
      <c r="AX40" s="77">
        <v>23.77</v>
      </c>
      <c r="AY40" s="77">
        <v>23.82</v>
      </c>
    </row>
    <row r="41" spans="1:51">
      <c r="A41" s="14" t="s">
        <v>90</v>
      </c>
      <c r="B41" s="15" t="s">
        <v>91</v>
      </c>
      <c r="C41" s="16">
        <v>0.0045</v>
      </c>
      <c r="D41" s="16">
        <v>0.0045</v>
      </c>
      <c r="E41" s="49">
        <f t="shared" si="2"/>
        <v>45000</v>
      </c>
      <c r="F41" s="50">
        <f t="shared" si="0"/>
        <v>3608</v>
      </c>
      <c r="G41" s="51">
        <v>12.47</v>
      </c>
      <c r="H41" s="52">
        <v>12.41</v>
      </c>
      <c r="I41" s="52">
        <v>12.285</v>
      </c>
      <c r="J41" s="52">
        <v>12.26</v>
      </c>
      <c r="K41" s="52">
        <v>12.195</v>
      </c>
      <c r="L41" s="52">
        <v>12.05</v>
      </c>
      <c r="M41" s="52">
        <v>12.085</v>
      </c>
      <c r="N41" s="52">
        <v>12.16</v>
      </c>
      <c r="O41" s="77">
        <v>12.125</v>
      </c>
      <c r="P41" s="77">
        <v>12.155</v>
      </c>
      <c r="Q41" s="77">
        <v>12.295</v>
      </c>
      <c r="R41" s="77">
        <v>12.285</v>
      </c>
      <c r="S41" s="77">
        <v>12.965</v>
      </c>
      <c r="T41" s="77">
        <v>12.69</v>
      </c>
      <c r="U41" s="77">
        <v>12.655</v>
      </c>
      <c r="V41" s="77">
        <v>12.58</v>
      </c>
      <c r="W41" s="77">
        <v>12.57</v>
      </c>
      <c r="X41" s="77">
        <v>12.35</v>
      </c>
      <c r="Y41" s="77">
        <v>12.3</v>
      </c>
      <c r="Z41" s="77">
        <v>12.355</v>
      </c>
      <c r="AA41" s="16">
        <v>0.0100546574206585</v>
      </c>
      <c r="AB41" s="49">
        <f t="shared" si="3"/>
        <v>100546.574206585</v>
      </c>
      <c r="AC41" s="50">
        <f t="shared" si="1"/>
        <v>8050</v>
      </c>
      <c r="AD41" s="77">
        <v>12.43</v>
      </c>
      <c r="AE41" s="77">
        <v>12.49</v>
      </c>
      <c r="AF41" s="77">
        <v>12.65</v>
      </c>
      <c r="AG41" s="77">
        <v>12.705</v>
      </c>
      <c r="AH41" s="77">
        <v>12.76</v>
      </c>
      <c r="AI41" s="77">
        <v>12.725</v>
      </c>
      <c r="AJ41" s="77">
        <v>12.765</v>
      </c>
      <c r="AK41" s="77">
        <v>12.805</v>
      </c>
      <c r="AL41" s="77">
        <v>12.785</v>
      </c>
      <c r="AM41" s="77">
        <v>13</v>
      </c>
      <c r="AN41" s="77">
        <v>13.135</v>
      </c>
      <c r="AO41" s="77">
        <v>13.16</v>
      </c>
      <c r="AP41" s="77">
        <v>13.065</v>
      </c>
      <c r="AQ41" s="77">
        <v>12.925</v>
      </c>
      <c r="AR41" s="77">
        <v>12.665</v>
      </c>
      <c r="AS41" s="77">
        <v>12.36</v>
      </c>
      <c r="AT41" s="77">
        <v>12.41</v>
      </c>
      <c r="AU41" s="77">
        <v>12.365</v>
      </c>
      <c r="AV41" s="77">
        <v>12.235</v>
      </c>
      <c r="AW41" s="77">
        <v>12.18</v>
      </c>
      <c r="AX41" s="77">
        <v>12.22</v>
      </c>
      <c r="AY41" s="77">
        <v>12.365</v>
      </c>
    </row>
    <row r="42" spans="1:51">
      <c r="A42" s="14" t="s">
        <v>92</v>
      </c>
      <c r="B42" s="15" t="s">
        <v>93</v>
      </c>
      <c r="C42" s="16">
        <v>0.0037</v>
      </c>
      <c r="D42" s="16">
        <v>0.0596</v>
      </c>
      <c r="E42" s="49">
        <f t="shared" si="2"/>
        <v>596000</v>
      </c>
      <c r="F42" s="50">
        <f t="shared" si="0"/>
        <v>9983</v>
      </c>
      <c r="G42" s="51">
        <v>59.7</v>
      </c>
      <c r="H42" s="52">
        <v>60.62</v>
      </c>
      <c r="I42" s="52">
        <v>60.6</v>
      </c>
      <c r="J42" s="52">
        <v>60.16</v>
      </c>
      <c r="K42" s="52">
        <v>60.28</v>
      </c>
      <c r="L42" s="52">
        <v>60.46</v>
      </c>
      <c r="M42" s="52">
        <v>60.64</v>
      </c>
      <c r="N42" s="52">
        <v>61.36</v>
      </c>
      <c r="O42" s="77">
        <v>61.58</v>
      </c>
      <c r="P42" s="77">
        <v>63.36</v>
      </c>
      <c r="Q42" s="77">
        <v>63.36</v>
      </c>
      <c r="R42" s="77">
        <v>65.9</v>
      </c>
      <c r="S42" s="77">
        <v>68.76</v>
      </c>
      <c r="T42" s="77">
        <v>65.42</v>
      </c>
      <c r="U42" s="77">
        <v>66.5</v>
      </c>
      <c r="V42" s="77">
        <v>66.08</v>
      </c>
      <c r="W42" s="77">
        <v>67.32</v>
      </c>
      <c r="X42" s="77">
        <v>65.92</v>
      </c>
      <c r="Y42" s="77">
        <v>66.54</v>
      </c>
      <c r="Z42" s="77">
        <v>66.6</v>
      </c>
      <c r="AA42" s="16">
        <v>0.0094521005927451</v>
      </c>
      <c r="AB42" s="49">
        <f t="shared" si="3"/>
        <v>94521.005927451</v>
      </c>
      <c r="AC42" s="50">
        <f t="shared" si="1"/>
        <v>1438</v>
      </c>
      <c r="AD42" s="77">
        <v>64.6</v>
      </c>
      <c r="AE42" s="77">
        <v>65.7</v>
      </c>
      <c r="AF42" s="77">
        <v>66.46</v>
      </c>
      <c r="AG42" s="77">
        <v>66.26</v>
      </c>
      <c r="AH42" s="77">
        <v>66.78</v>
      </c>
      <c r="AI42" s="77">
        <v>66.8</v>
      </c>
      <c r="AJ42" s="77">
        <v>67.52</v>
      </c>
      <c r="AK42" s="77">
        <v>67.66</v>
      </c>
      <c r="AL42" s="77">
        <v>67.34</v>
      </c>
      <c r="AM42" s="77">
        <v>67.8</v>
      </c>
      <c r="AN42" s="77">
        <v>68.82</v>
      </c>
      <c r="AO42" s="77">
        <v>68</v>
      </c>
      <c r="AP42" s="77">
        <v>68.36</v>
      </c>
      <c r="AQ42" s="77">
        <v>66.74</v>
      </c>
      <c r="AR42" s="77">
        <v>65.54</v>
      </c>
      <c r="AS42" s="77">
        <v>65.16</v>
      </c>
      <c r="AT42" s="77">
        <v>64.84</v>
      </c>
      <c r="AU42" s="77">
        <v>64.82</v>
      </c>
      <c r="AV42" s="77">
        <v>64.98</v>
      </c>
      <c r="AW42" s="77">
        <v>61.4</v>
      </c>
      <c r="AX42" s="77">
        <v>62.86</v>
      </c>
      <c r="AY42" s="77">
        <v>62.78</v>
      </c>
    </row>
    <row r="43" spans="1:51">
      <c r="A43" s="14" t="s">
        <v>94</v>
      </c>
      <c r="B43" s="15" t="s">
        <v>95</v>
      </c>
      <c r="C43" s="16">
        <v>0.0032</v>
      </c>
      <c r="D43" s="16">
        <v>0.0132</v>
      </c>
      <c r="E43" s="49">
        <f t="shared" si="2"/>
        <v>132000</v>
      </c>
      <c r="F43" s="50">
        <f t="shared" si="0"/>
        <v>3354</v>
      </c>
      <c r="G43" s="51">
        <v>39.35</v>
      </c>
      <c r="H43" s="52">
        <v>38.6</v>
      </c>
      <c r="I43" s="52">
        <v>38.51</v>
      </c>
      <c r="J43" s="52">
        <v>39.06</v>
      </c>
      <c r="K43" s="52">
        <v>38.64</v>
      </c>
      <c r="L43" s="52">
        <v>38.16</v>
      </c>
      <c r="M43" s="52">
        <v>38.68</v>
      </c>
      <c r="N43" s="52">
        <v>38.84</v>
      </c>
      <c r="O43" s="77">
        <v>38.6</v>
      </c>
      <c r="P43" s="77">
        <v>38.44</v>
      </c>
      <c r="Q43" s="77">
        <v>38.63</v>
      </c>
      <c r="R43" s="77">
        <v>38.45</v>
      </c>
      <c r="S43" s="77">
        <v>38.78</v>
      </c>
      <c r="T43" s="77">
        <v>38.2</v>
      </c>
      <c r="U43" s="77">
        <v>39.01</v>
      </c>
      <c r="V43" s="77">
        <v>38.98</v>
      </c>
      <c r="W43" s="77">
        <v>36.15</v>
      </c>
      <c r="X43" s="77">
        <v>36.2</v>
      </c>
      <c r="Y43" s="77">
        <v>36.57</v>
      </c>
      <c r="Z43" s="77">
        <v>36.66</v>
      </c>
      <c r="AA43" s="16">
        <v>0.0152652729055639</v>
      </c>
      <c r="AB43" s="49">
        <f t="shared" si="3"/>
        <v>152652.729055639</v>
      </c>
      <c r="AC43" s="50">
        <f t="shared" si="1"/>
        <v>4085</v>
      </c>
      <c r="AD43" s="77">
        <v>36.92</v>
      </c>
      <c r="AE43" s="77">
        <v>37.36</v>
      </c>
      <c r="AF43" s="77">
        <v>37.85</v>
      </c>
      <c r="AG43" s="77">
        <v>38.34</v>
      </c>
      <c r="AH43" s="77">
        <v>38.34</v>
      </c>
      <c r="AI43" s="77">
        <v>38.55</v>
      </c>
      <c r="AJ43" s="77">
        <v>39.04</v>
      </c>
      <c r="AK43" s="77">
        <v>39.28</v>
      </c>
      <c r="AL43" s="77">
        <v>38.92</v>
      </c>
      <c r="AM43" s="77">
        <v>39.16</v>
      </c>
      <c r="AN43" s="77">
        <v>38.85</v>
      </c>
      <c r="AO43" s="77">
        <v>38.64</v>
      </c>
      <c r="AP43" s="77">
        <v>38.71</v>
      </c>
      <c r="AQ43" s="77">
        <v>36.97</v>
      </c>
      <c r="AR43" s="77">
        <v>36.4</v>
      </c>
      <c r="AS43" s="77">
        <v>36.68</v>
      </c>
      <c r="AT43" s="77">
        <v>36.73</v>
      </c>
      <c r="AU43" s="77">
        <v>36.64</v>
      </c>
      <c r="AV43" s="77">
        <v>36.14</v>
      </c>
      <c r="AW43" s="77">
        <v>35.63</v>
      </c>
      <c r="AX43" s="77">
        <v>35.64</v>
      </c>
      <c r="AY43" s="77">
        <v>36.22</v>
      </c>
    </row>
    <row r="44" spans="1:51">
      <c r="A44" s="14" t="s">
        <v>96</v>
      </c>
      <c r="B44" s="15" t="s">
        <v>97</v>
      </c>
      <c r="C44" s="16">
        <v>0.0029</v>
      </c>
      <c r="D44" s="16">
        <v>0.0347</v>
      </c>
      <c r="E44" s="49">
        <f t="shared" si="2"/>
        <v>347000</v>
      </c>
      <c r="F44" s="50">
        <f t="shared" si="0"/>
        <v>3909</v>
      </c>
      <c r="G44" s="51">
        <v>88.76</v>
      </c>
      <c r="H44" s="52">
        <v>89.32</v>
      </c>
      <c r="I44" s="52">
        <v>86.72</v>
      </c>
      <c r="J44" s="52">
        <v>84.72</v>
      </c>
      <c r="K44" s="52">
        <v>86.08</v>
      </c>
      <c r="L44" s="52">
        <v>85.56</v>
      </c>
      <c r="M44" s="52">
        <v>86.48</v>
      </c>
      <c r="N44" s="52">
        <v>86.22</v>
      </c>
      <c r="O44" s="77">
        <v>84.62</v>
      </c>
      <c r="P44" s="77">
        <v>84.92</v>
      </c>
      <c r="Q44" s="77">
        <v>88.12</v>
      </c>
      <c r="R44" s="77">
        <v>87.92</v>
      </c>
      <c r="S44" s="77">
        <v>89.42</v>
      </c>
      <c r="T44" s="77">
        <v>88.22</v>
      </c>
      <c r="U44" s="77">
        <v>87.98</v>
      </c>
      <c r="V44" s="77">
        <v>85.58</v>
      </c>
      <c r="W44" s="77">
        <v>85.72</v>
      </c>
      <c r="X44" s="77">
        <v>68.02</v>
      </c>
      <c r="Y44" s="77">
        <v>65.44</v>
      </c>
      <c r="Z44" s="77">
        <v>68.4</v>
      </c>
      <c r="AA44" s="19">
        <v>0.0133464010734025</v>
      </c>
      <c r="AB44" s="49">
        <f t="shared" si="3"/>
        <v>133464.010734025</v>
      </c>
      <c r="AC44" s="50">
        <f t="shared" si="1"/>
        <v>1894</v>
      </c>
      <c r="AD44" s="77">
        <v>68</v>
      </c>
      <c r="AE44" s="77">
        <v>70.46</v>
      </c>
      <c r="AF44" s="77">
        <v>70.32</v>
      </c>
      <c r="AG44" s="77">
        <v>68.98</v>
      </c>
      <c r="AH44" s="77">
        <v>69.38</v>
      </c>
      <c r="AI44" s="77">
        <v>69.18</v>
      </c>
      <c r="AJ44" s="77">
        <v>69.68</v>
      </c>
      <c r="AK44" s="77">
        <v>72.48</v>
      </c>
      <c r="AL44" s="77">
        <v>72.6</v>
      </c>
      <c r="AM44" s="77">
        <v>73.4</v>
      </c>
      <c r="AN44" s="77">
        <v>73.3</v>
      </c>
      <c r="AO44" s="77">
        <v>72.44</v>
      </c>
      <c r="AP44" s="77">
        <v>72.24</v>
      </c>
      <c r="AQ44" s="77">
        <v>72.26</v>
      </c>
      <c r="AR44" s="77">
        <v>68.9</v>
      </c>
      <c r="AS44" s="77">
        <v>68.88</v>
      </c>
      <c r="AT44" s="77">
        <v>67.28</v>
      </c>
      <c r="AU44" s="77">
        <v>65.92</v>
      </c>
      <c r="AV44" s="77">
        <v>67.18</v>
      </c>
      <c r="AW44" s="77">
        <v>64.8</v>
      </c>
      <c r="AX44" s="77">
        <v>64.02</v>
      </c>
      <c r="AY44" s="77">
        <v>66</v>
      </c>
    </row>
    <row r="45" spans="1:28">
      <c r="A45" s="14"/>
      <c r="B45" s="15"/>
      <c r="C45" s="16"/>
      <c r="D45" s="16"/>
      <c r="E45" s="49"/>
      <c r="F45" s="50"/>
      <c r="G45" s="53"/>
      <c r="H45" s="52"/>
      <c r="I45" s="52"/>
      <c r="J45" s="52"/>
      <c r="K45" s="52"/>
      <c r="AA45" s="16"/>
      <c r="AB45" s="49"/>
    </row>
    <row r="46" s="21" customFormat="1" ht="18.35" spans="1:28">
      <c r="A46" s="30" t="s">
        <v>98</v>
      </c>
      <c r="B46" s="31"/>
      <c r="C46" s="32">
        <f>SUM(C5:C44)</f>
        <v>0.9999</v>
      </c>
      <c r="D46" s="32">
        <f>SUM(D5:D44)</f>
        <v>1</v>
      </c>
      <c r="E46" s="54">
        <f>SUM(E5:E44)</f>
        <v>10000000</v>
      </c>
      <c r="F46" s="55"/>
      <c r="G46" s="56"/>
      <c r="H46" s="57"/>
      <c r="I46" s="67"/>
      <c r="J46" s="67"/>
      <c r="K46" s="67"/>
      <c r="AA46" s="32">
        <f>SUM(AA5:AA44)</f>
        <v>1</v>
      </c>
      <c r="AB46" s="54">
        <f>SUM(AB5:AB44)</f>
        <v>10000000</v>
      </c>
    </row>
    <row r="47" s="22" customFormat="1" ht="18.35" spans="1:28">
      <c r="A47"/>
      <c r="B47" s="15"/>
      <c r="C47" s="16"/>
      <c r="D47" s="16"/>
      <c r="E47" s="58"/>
      <c r="F47" s="59"/>
      <c r="G47" s="60"/>
      <c r="H47" s="52"/>
      <c r="I47" s="52"/>
      <c r="J47" s="52"/>
      <c r="K47" s="52"/>
      <c r="L47"/>
      <c r="AA47" s="16"/>
      <c r="AB47" s="58"/>
    </row>
    <row r="48" s="23" customFormat="1" ht="18.35" spans="1:51">
      <c r="A48" s="33" t="s">
        <v>99</v>
      </c>
      <c r="B48" s="34" t="s">
        <v>100</v>
      </c>
      <c r="C48" s="34" t="s">
        <v>101</v>
      </c>
      <c r="D48" s="35">
        <v>-1</v>
      </c>
      <c r="E48" s="61">
        <f>G48*F48</f>
        <v>9997765.74</v>
      </c>
      <c r="F48" s="62">
        <f>ROUNDDOWN(D1/G48,0)</f>
        <v>1269</v>
      </c>
      <c r="G48" s="63">
        <v>7878.46</v>
      </c>
      <c r="H48" s="64">
        <v>7902.25</v>
      </c>
      <c r="I48" s="74">
        <v>7829.29</v>
      </c>
      <c r="J48" s="74">
        <v>7808.17</v>
      </c>
      <c r="K48" s="74">
        <v>7766.21</v>
      </c>
      <c r="L48" s="75">
        <v>7722.09</v>
      </c>
      <c r="M48" s="74">
        <v>7822</v>
      </c>
      <c r="N48" s="74">
        <v>7822.67</v>
      </c>
      <c r="O48" s="78">
        <v>7798.22</v>
      </c>
      <c r="P48" s="78">
        <v>7744.41</v>
      </c>
      <c r="Q48" s="78">
        <v>7850.43</v>
      </c>
      <c r="R48" s="78">
        <v>7818.28</v>
      </c>
      <c r="S48" s="78">
        <v>7834.58</v>
      </c>
      <c r="T48" s="78">
        <v>7800.88</v>
      </c>
      <c r="U48" s="78">
        <v>7857.36</v>
      </c>
      <c r="V48" s="78">
        <v>7861.96</v>
      </c>
      <c r="W48" s="78">
        <v>7771.97</v>
      </c>
      <c r="X48" s="78">
        <v>7546.16</v>
      </c>
      <c r="Y48" s="78">
        <v>7632.01</v>
      </c>
      <c r="Z48" s="78">
        <v>7621.04</v>
      </c>
      <c r="AA48" s="35">
        <v>-1</v>
      </c>
      <c r="AB48" s="61">
        <v>10000000.0045121</v>
      </c>
      <c r="AC48" s="50">
        <f>ROUND(AB48/AD48,0)</f>
        <v>1310</v>
      </c>
      <c r="AD48" s="78">
        <v>7635.03</v>
      </c>
      <c r="AE48" s="78">
        <v>7709.32</v>
      </c>
      <c r="AF48" s="78">
        <v>7743</v>
      </c>
      <c r="AG48" s="78">
        <v>7698.52</v>
      </c>
      <c r="AH48" s="78">
        <v>7753.42</v>
      </c>
      <c r="AI48" s="78">
        <v>7804.97</v>
      </c>
      <c r="AJ48" s="78">
        <v>7870.34</v>
      </c>
      <c r="AK48" s="78">
        <v>7923.45</v>
      </c>
      <c r="AL48" s="78">
        <v>7884.05</v>
      </c>
      <c r="AM48" s="78">
        <v>7979.08</v>
      </c>
      <c r="AN48" s="78">
        <v>7973.03</v>
      </c>
      <c r="AO48" s="78">
        <v>7938.29</v>
      </c>
      <c r="AP48" s="78">
        <v>7969.69</v>
      </c>
      <c r="AQ48" s="78">
        <v>7843.04</v>
      </c>
      <c r="AR48" s="78">
        <v>7709.81</v>
      </c>
      <c r="AS48" s="78">
        <v>7743.93</v>
      </c>
      <c r="AT48" s="78">
        <v>7762.6</v>
      </c>
      <c r="AU48" s="78">
        <v>7703.9</v>
      </c>
      <c r="AV48" s="78">
        <v>7707.9</v>
      </c>
      <c r="AW48" s="78">
        <v>7654.25</v>
      </c>
      <c r="AX48" s="78">
        <v>7719.71</v>
      </c>
      <c r="AY48" s="78">
        <v>7698.92</v>
      </c>
    </row>
    <row r="49" spans="2:28">
      <c r="B49" s="15"/>
      <c r="C49" s="15"/>
      <c r="D49" s="36"/>
      <c r="E49" s="58"/>
      <c r="F49" s="59"/>
      <c r="G49" s="60"/>
      <c r="H49" s="52"/>
      <c r="I49" s="52"/>
      <c r="J49" s="52"/>
      <c r="K49" s="52"/>
      <c r="L49" s="72"/>
      <c r="AA49" s="36"/>
      <c r="AB49" s="58"/>
    </row>
    <row r="50" s="21" customFormat="1" spans="1:51">
      <c r="A50" s="21" t="s">
        <v>102</v>
      </c>
      <c r="F50" s="65"/>
      <c r="G50" s="66">
        <v>0</v>
      </c>
      <c r="H50" s="67" cm="1">
        <f t="array" ref="H50">SUMPRODUCT((H5:H44-G5:G44),F5:F44)-(H48-G48)*$F48</f>
        <v>17963.7799999999</v>
      </c>
      <c r="I50" s="67" cm="1">
        <f t="array" ref="I50">SUMPRODUCT((I5:I44-H5:H44),$F5:$F44)-(I48-H48)*$F48</f>
        <v>-14476.6899999999</v>
      </c>
      <c r="J50" s="67" cm="1">
        <f t="array" ref="J50">SUMPRODUCT((J5:J44-I5:I44),$F$5:$F$44)-(J48-I48)*$F$48</f>
        <v>-12157.8800000001</v>
      </c>
      <c r="K50" s="67" cm="1">
        <f t="array" ref="K50">SUMPRODUCT((K5:K44-J5:J44),$F$5:$F$44)-(K48-J48)*$F$48</f>
        <v>11976.0449999998</v>
      </c>
      <c r="L50" s="67" cm="1">
        <f t="array" ref="L50">SUMPRODUCT((L5:L44-K5:K44),$F$5:$F$44)-(L48-K48)*$F$48</f>
        <v>-12380.2999999999</v>
      </c>
      <c r="M50" s="67" cm="1">
        <f t="array" ref="M50">SUMPRODUCT((M5:M44-L5:L44),$F$5:$F$44)-(M48-L48)*$F$48</f>
        <v>-16611.9949999999</v>
      </c>
      <c r="N50" s="67" cm="1">
        <f t="array" ref="N50">SUMPRODUCT((N5:N44-M5:M44),$F$5:$F$44)-(N48-M48)*$F$48</f>
        <v>17627.8799999999</v>
      </c>
      <c r="O50" s="67" cm="1">
        <f t="array" ref="O50">SUMPRODUCT((O5:O44-N5:N44),$F$5:$F$44)-(O48-N48)*$F$48</f>
        <v>112.904999999715</v>
      </c>
      <c r="P50" s="67" cm="1">
        <f t="array" ref="P50">SUMPRODUCT((P5:P44-O5:O44),$F$5:$F$44)-(P48-O48)*$F$48</f>
        <v>34268.4450000005</v>
      </c>
      <c r="Q50" s="67" cm="1">
        <f t="array" ref="Q50">SUMPRODUCT((Q5:Q44-P5:P44),$F$5:$F$44)-(Q48-P48)*$F$48</f>
        <v>-3546.27500000056</v>
      </c>
      <c r="R50" s="67" cm="1">
        <f t="array" ref="R50">SUMPRODUCT((R5:R44-Q5:Q44),$F$5:$F$44)-(R48-Q48)*$F$48</f>
        <v>32437.0700000007</v>
      </c>
      <c r="S50" s="67" cm="1">
        <f t="array" ref="S50">SUMPRODUCT((S5:S44-R5:R44),$F$5:$F$44)-(S48-R48)*$F$48</f>
        <v>43694.6349999998</v>
      </c>
      <c r="T50" s="67" cm="1">
        <f t="array" ref="T50">SUMPRODUCT((T5:T44-S5:S44),$F$5:$F$44)-(T48-S48)*$F$48</f>
        <v>-35679.3000000004</v>
      </c>
      <c r="U50" s="67" cm="1">
        <f t="array" ref="U50">SUMPRODUCT((U5:U44-T5:T44),$F$5:$F$44)-(U48-T48)*$F$48</f>
        <v>952.605000000563</v>
      </c>
      <c r="V50" s="67" cm="1">
        <f t="array" ref="V50">SUMPRODUCT((V5:V44-U5:U44),$F$5:$F$44)-(V48-U48)*$F$48</f>
        <v>-50625.3700000004</v>
      </c>
      <c r="W50" s="67" cm="1">
        <f t="array" ref="W50">SUMPRODUCT((W5:W44-V5:V44),$F$5:$F$44)-(W48-V48)*$F$48</f>
        <v>28265.1549999997</v>
      </c>
      <c r="X50" s="67" cm="1">
        <f t="array" ref="X50">SUMPRODUCT((X5:X44-W5:W44),$F$5:$F$44)-(X48-W48)*$F$48</f>
        <v>-40458.4299999996</v>
      </c>
      <c r="Y50" s="67" cm="1">
        <f t="array" ref="Y50">SUMPRODUCT((Y5:Y44-X5:X44),$F$5:$F$44)-(Y48-X48)*$F$48</f>
        <v>-35160.0950000004</v>
      </c>
      <c r="Z50" s="67" cm="1">
        <f t="array" ref="Z50">SUMPRODUCT((Z5:Z44-Y5:Y44),$F$5:$F$44)-(Z48-Y48)*$F$48</f>
        <v>11998.9900000003</v>
      </c>
      <c r="AA50" s="67"/>
      <c r="AB50" s="67"/>
      <c r="AC50" s="67"/>
      <c r="AD50" s="67" cm="1">
        <f t="array" ref="AD50">SUMPRODUCT((AD5:AD44-Z5:Z44),$AC$5:$AC$44)-(AD48-Z48)*$AC$48</f>
        <v>11280.5320000005</v>
      </c>
      <c r="AE50" s="67" cm="1">
        <f t="array" ref="AE50">SUMPRODUCT((AE5:AE44-AD5:AD44),$AC$5:$AC$44)-(AE48-AD48)*$AC$48</f>
        <v>-18284.191</v>
      </c>
      <c r="AF50" s="67" cm="1">
        <f t="array" ref="AF50">SUMPRODUCT((AF5:AF44-AE5:AE44),$AC$5:$AC$44)-(AF48-AE48)*$AC$48</f>
        <v>1424.6649999997</v>
      </c>
      <c r="AG50" s="67" cm="1">
        <f t="array" ref="AG50">SUMPRODUCT((AG5:AG44-AF5:AF44),$AC$5:$AC$44)-(AG48-AF48)*$AC$48</f>
        <v>31553.4019999994</v>
      </c>
      <c r="AH50" s="67" cm="1">
        <f t="array" ref="AH50">SUMPRODUCT((AH5:AH44-AG5:AG44),$AC$5:$AC$44)-(AH48-AG48)*$AAC$48</f>
        <v>65012.8570000001</v>
      </c>
      <c r="AI50" s="67" cm="1">
        <f t="array" ref="AI50">SUMPRODUCT((AI5:AI44-AH5:AH44),$AC$5:$AC$44)-(AI48-AH48)*$AAC$48</f>
        <v>58721.2259999998</v>
      </c>
      <c r="AJ50" s="67" cm="1">
        <f t="array" ref="AJ50">SUMPRODUCT((AJ5:AJ44-AI5:AI44),$AC$5:$AC$44)-(AJ48-AI48)*$AAC$48</f>
        <v>75737.1340000002</v>
      </c>
      <c r="AK50" s="67" cm="1">
        <f t="array" ref="AK50">SUMPRODUCT((AK5:AK44-AJ5:AJ44),$AC$5:$AC$44)-(AK48-AJ48)*$AAC$48</f>
        <v>80046.6749999998</v>
      </c>
      <c r="AL50" s="67" cm="1">
        <f t="array" ref="AL50">SUMPRODUCT((AL5:AL44-AK5:AK44),$AC$5:$AC$44)-(AL48-AK48)*$AAC$48</f>
        <v>-41350.6889999999</v>
      </c>
      <c r="AM50" s="67" cm="1">
        <f t="array" ref="AM50">SUMPRODUCT((AM5:AM44-AL5:AL44),$AC$5:$AC$44)-(AM48-AL48)*$AAC$48</f>
        <v>84831.3739999999</v>
      </c>
      <c r="AN50" s="67" cm="1">
        <f t="array" ref="AN50">SUMPRODUCT((AN5:AN44-AM5:AM44),$AC$5:$AC$44)-(AN48-AM48)*$AAC$48</f>
        <v>3623.19699999995</v>
      </c>
      <c r="AO50" s="67" cm="1">
        <f t="array" ref="AO50">SUMPRODUCT((AO5:AO44-AN5:AN44),$AC$5:$AC$44)-(AO48-AN48)*$AAC$48</f>
        <v>-45290.8789999999</v>
      </c>
      <c r="AP50" s="67" cm="1">
        <f t="array" ref="AP50">SUMPRODUCT((AP5:AP44-AO5:AO44),$AC$5:$AC$44)-(AP48-AO48)*$AAC$48</f>
        <v>50553.2480000001</v>
      </c>
      <c r="AQ50" s="67" cm="1">
        <f t="array" ref="AQ50">SUMPRODUCT((AQ5:AQ44-AP5:AP44),$AC$5:$AC$44)-(AQ48-AP48)*$AAC$48</f>
        <v>-164755.062</v>
      </c>
      <c r="AR50" s="67" cm="1">
        <f t="array" ref="AR50">SUMPRODUCT((AR5:AR44-AQ5:AQ44),$AC$5:$AC$44)-(AR48-AQ48)*$AAC$48</f>
        <v>-185723.655</v>
      </c>
      <c r="AS50" s="67" cm="1">
        <f t="array" ref="AS50">SUMPRODUCT((AS5:AS44-AR5:AR44),$AC$5:$AC$44)-(AS48-AR48)*$AAC$48</f>
        <v>13989.2929999999</v>
      </c>
      <c r="AT50" s="67" cm="1">
        <f t="array" ref="AT50">SUMPRODUCT((AT5:AT44-AS5:AS44),$AC$5:$AC$44)-(AT48-AS48)*$AAC$48</f>
        <v>17338.3060000002</v>
      </c>
      <c r="AU50" s="67" cm="1">
        <f t="array" ref="AU50">SUMPRODUCT((AU5:AU44-AT5:AT44),$AC$5:$AC$44)-(AU48-AT48)*$AAC$48</f>
        <v>-50769.138</v>
      </c>
      <c r="AV50" s="67" cm="1">
        <f t="array" ref="AV50">SUMPRODUCT((AV5:AV44-AU5:AU44),$AC$5:$AC$44)-(AV48-AU48)*$AAC$48</f>
        <v>13546.9129999999</v>
      </c>
      <c r="AW50" s="67" cm="1">
        <f t="array" ref="AW50">SUMPRODUCT((AW5:AW44-AV5:AV44),$AC$5:$AC$44)-(AW48-AV48)*$AAC$48</f>
        <v>-93746.735</v>
      </c>
      <c r="AX50" s="67" cm="1">
        <f t="array" ref="AX50">SUMPRODUCT((AX5:AX44-AW5:AW44),$AC$5:$AC$44)-(AX48-AW48)*$AAC$48</f>
        <v>70964.781</v>
      </c>
      <c r="AY50" s="67" cm="1">
        <f t="array" ref="AY50">SUMPRODUCT((AY5:AY44-AX5:AX44),$AC$5:$AC$44)-(AY48-AX48)*$AAC$48</f>
        <v>-864.23199999994</v>
      </c>
    </row>
    <row r="51" s="21" customFormat="1" spans="1:51">
      <c r="A51" s="21" t="s">
        <v>103</v>
      </c>
      <c r="F51" s="65"/>
      <c r="G51" s="68">
        <v>0</v>
      </c>
      <c r="H51" s="69">
        <f t="shared" ref="H51:M51" si="4">H50/$E$46</f>
        <v>0.00179637799999999</v>
      </c>
      <c r="I51" s="69">
        <f t="shared" si="4"/>
        <v>-0.00144766899999999</v>
      </c>
      <c r="J51" s="69">
        <f t="shared" si="4"/>
        <v>-0.00121578800000001</v>
      </c>
      <c r="K51" s="69">
        <f t="shared" si="4"/>
        <v>0.00119760449999998</v>
      </c>
      <c r="L51" s="69">
        <f t="shared" si="4"/>
        <v>-0.00123802999999999</v>
      </c>
      <c r="M51" s="69">
        <f t="shared" si="4"/>
        <v>-0.00166119949999999</v>
      </c>
      <c r="N51" s="69">
        <f t="shared" ref="N51" si="5">N50/$E$46</f>
        <v>0.00176278799999999</v>
      </c>
      <c r="O51" s="69">
        <f t="shared" ref="O51" si="6">O50/$E$46</f>
        <v>1.12904999999715e-5</v>
      </c>
      <c r="P51" s="69">
        <f t="shared" ref="P51" si="7">P50/$E$46</f>
        <v>0.00342684450000005</v>
      </c>
      <c r="Q51" s="69">
        <f t="shared" ref="Q51" si="8">Q50/$E$46</f>
        <v>-0.000354627500000056</v>
      </c>
      <c r="R51" s="69">
        <f t="shared" ref="R51" si="9">R50/$E$46</f>
        <v>0.00324370700000007</v>
      </c>
      <c r="S51" s="69">
        <f t="shared" ref="S51" si="10">S50/$E$46</f>
        <v>0.00436946349999998</v>
      </c>
      <c r="T51" s="69">
        <f t="shared" ref="T51:AK51" si="11">T50/$E$46</f>
        <v>-0.00356793000000004</v>
      </c>
      <c r="U51" s="79">
        <f t="shared" si="11"/>
        <v>9.52605000000563e-5</v>
      </c>
      <c r="V51" s="69">
        <f t="shared" si="11"/>
        <v>-0.00506253700000004</v>
      </c>
      <c r="W51" s="69">
        <f t="shared" si="11"/>
        <v>0.00282651549999997</v>
      </c>
      <c r="X51" s="69">
        <f t="shared" si="11"/>
        <v>-0.00404584299999996</v>
      </c>
      <c r="Y51" s="69">
        <f t="shared" si="11"/>
        <v>-0.00351600950000004</v>
      </c>
      <c r="Z51" s="69">
        <f t="shared" si="11"/>
        <v>0.00119989900000003</v>
      </c>
      <c r="AA51" s="69"/>
      <c r="AB51" s="69"/>
      <c r="AC51" s="69"/>
      <c r="AD51" s="69">
        <f t="shared" si="11"/>
        <v>0.00112805320000005</v>
      </c>
      <c r="AE51" s="69">
        <f t="shared" si="11"/>
        <v>-0.0018284191</v>
      </c>
      <c r="AF51" s="69">
        <f t="shared" si="11"/>
        <v>0.00014246649999997</v>
      </c>
      <c r="AG51" s="69">
        <f t="shared" si="11"/>
        <v>0.00315534019999994</v>
      </c>
      <c r="AH51" s="69">
        <f t="shared" si="11"/>
        <v>0.00650128570000001</v>
      </c>
      <c r="AI51" s="69">
        <f t="shared" si="11"/>
        <v>0.00587212259999998</v>
      </c>
      <c r="AJ51" s="69">
        <f t="shared" si="11"/>
        <v>0.00757371340000002</v>
      </c>
      <c r="AK51" s="69">
        <f t="shared" si="11"/>
        <v>0.00800466749999998</v>
      </c>
      <c r="AL51" s="69">
        <f t="shared" ref="AL51:AY51" si="12">AL50/$E$46</f>
        <v>-0.00413506889999999</v>
      </c>
      <c r="AM51" s="69">
        <f t="shared" si="12"/>
        <v>0.00848313739999999</v>
      </c>
      <c r="AN51" s="69">
        <f t="shared" si="12"/>
        <v>0.000362319699999995</v>
      </c>
      <c r="AO51" s="69">
        <f t="shared" si="12"/>
        <v>-0.00452908789999999</v>
      </c>
      <c r="AP51" s="69">
        <f t="shared" si="12"/>
        <v>0.00505532480000001</v>
      </c>
      <c r="AQ51" s="69">
        <f t="shared" si="12"/>
        <v>-0.0164755062</v>
      </c>
      <c r="AR51" s="69">
        <f t="shared" si="12"/>
        <v>-0.0185723655</v>
      </c>
      <c r="AS51" s="69">
        <f t="shared" si="12"/>
        <v>0.00139892929999999</v>
      </c>
      <c r="AT51" s="69">
        <f t="shared" si="12"/>
        <v>0.00173383060000002</v>
      </c>
      <c r="AU51" s="69">
        <f t="shared" si="12"/>
        <v>-0.0050769138</v>
      </c>
      <c r="AV51" s="69">
        <f t="shared" si="12"/>
        <v>0.00135469129999999</v>
      </c>
      <c r="AW51" s="69">
        <f t="shared" si="12"/>
        <v>-0.0093746735</v>
      </c>
      <c r="AX51" s="69">
        <f t="shared" si="12"/>
        <v>0.0070964781</v>
      </c>
      <c r="AY51" s="69">
        <f t="shared" si="12"/>
        <v>-8.6423199999994e-5</v>
      </c>
    </row>
    <row r="52" s="21" customFormat="1" spans="1:51">
      <c r="A52" s="21" t="s">
        <v>104</v>
      </c>
      <c r="F52" s="65"/>
      <c r="G52" s="66">
        <v>0</v>
      </c>
      <c r="H52" s="70">
        <f>H50</f>
        <v>17963.7799999999</v>
      </c>
      <c r="I52" s="70">
        <f>H52+I50</f>
        <v>3487.08999999999</v>
      </c>
      <c r="J52" s="70">
        <f t="shared" ref="J52:M52" si="13">I52+J50</f>
        <v>-8670.79000000008</v>
      </c>
      <c r="K52" s="70">
        <f t="shared" si="13"/>
        <v>3305.2549999997</v>
      </c>
      <c r="L52" s="70">
        <f t="shared" si="13"/>
        <v>-9075.04500000018</v>
      </c>
      <c r="M52" s="70">
        <f t="shared" si="13"/>
        <v>-25687.04</v>
      </c>
      <c r="N52" s="70">
        <f t="shared" ref="N52:AK52" si="14">M52+N50</f>
        <v>-8059.16000000011</v>
      </c>
      <c r="O52" s="70">
        <f t="shared" si="14"/>
        <v>-7946.25500000039</v>
      </c>
      <c r="P52" s="70">
        <f t="shared" si="14"/>
        <v>26322.1900000001</v>
      </c>
      <c r="Q52" s="70">
        <f t="shared" si="14"/>
        <v>22775.9149999995</v>
      </c>
      <c r="R52" s="70">
        <f t="shared" si="14"/>
        <v>55212.9850000003</v>
      </c>
      <c r="S52" s="70">
        <f t="shared" si="14"/>
        <v>98907.6200000001</v>
      </c>
      <c r="T52" s="70">
        <f t="shared" si="14"/>
        <v>63228.3199999997</v>
      </c>
      <c r="U52" s="67">
        <f t="shared" si="14"/>
        <v>64180.9250000003</v>
      </c>
      <c r="V52" s="70">
        <f t="shared" si="14"/>
        <v>13555.5549999999</v>
      </c>
      <c r="W52" s="70">
        <f t="shared" si="14"/>
        <v>41820.7099999996</v>
      </c>
      <c r="X52" s="70">
        <f t="shared" si="14"/>
        <v>1362.27999999996</v>
      </c>
      <c r="Y52" s="70">
        <f t="shared" si="14"/>
        <v>-33797.8150000004</v>
      </c>
      <c r="Z52" s="70">
        <f t="shared" si="14"/>
        <v>-21798.8250000002</v>
      </c>
      <c r="AA52" s="70"/>
      <c r="AB52" s="70"/>
      <c r="AC52" s="70"/>
      <c r="AD52" s="70">
        <f>Z52+AD50</f>
        <v>-10518.2929999997</v>
      </c>
      <c r="AE52" s="70">
        <f t="shared" si="14"/>
        <v>-28802.4839999997</v>
      </c>
      <c r="AF52" s="70">
        <f t="shared" si="14"/>
        <v>-27377.819</v>
      </c>
      <c r="AG52" s="70">
        <f t="shared" si="14"/>
        <v>4175.58299999937</v>
      </c>
      <c r="AH52" s="70">
        <f t="shared" si="14"/>
        <v>69188.4399999994</v>
      </c>
      <c r="AI52" s="70">
        <f t="shared" si="14"/>
        <v>127909.665999999</v>
      </c>
      <c r="AJ52" s="70">
        <f t="shared" si="14"/>
        <v>203646.799999999</v>
      </c>
      <c r="AK52" s="70">
        <f t="shared" si="14"/>
        <v>283693.474999999</v>
      </c>
      <c r="AL52" s="70">
        <f t="shared" ref="AL52" si="15">AK52+AL50</f>
        <v>242342.785999999</v>
      </c>
      <c r="AM52" s="70">
        <f t="shared" ref="AM52" si="16">AL52+AM50</f>
        <v>327174.159999999</v>
      </c>
      <c r="AN52" s="70">
        <f t="shared" ref="AN52" si="17">AM52+AN50</f>
        <v>330797.356999999</v>
      </c>
      <c r="AO52" s="70">
        <f t="shared" ref="AO52" si="18">AN52+AO50</f>
        <v>285506.477999999</v>
      </c>
      <c r="AP52" s="70">
        <f t="shared" ref="AP52" si="19">AO52+AP50</f>
        <v>336059.725999999</v>
      </c>
      <c r="AQ52" s="70">
        <f t="shared" ref="AQ52" si="20">AP52+AQ50</f>
        <v>171304.663999999</v>
      </c>
      <c r="AR52" s="70">
        <f t="shared" ref="AR52" si="21">AQ52+AR50</f>
        <v>-14418.9910000008</v>
      </c>
      <c r="AS52" s="70">
        <f t="shared" ref="AS52" si="22">AR52+AS50</f>
        <v>-429.698000000846</v>
      </c>
      <c r="AT52" s="70">
        <f t="shared" ref="AT52" si="23">AS52+AT50</f>
        <v>16908.6079999993</v>
      </c>
      <c r="AU52" s="70">
        <f t="shared" ref="AU52" si="24">AT52+AU50</f>
        <v>-33860.5300000007</v>
      </c>
      <c r="AV52" s="70">
        <f t="shared" ref="AV52" si="25">AU52+AV50</f>
        <v>-20313.6170000008</v>
      </c>
      <c r="AW52" s="70">
        <f t="shared" ref="AW52" si="26">AV52+AW50</f>
        <v>-114060.352000001</v>
      </c>
      <c r="AX52" s="70">
        <f t="shared" ref="AX52" si="27">AW52+AX50</f>
        <v>-43095.5710000008</v>
      </c>
      <c r="AY52" s="70">
        <f t="shared" ref="AY52" si="28">AX52+AY50</f>
        <v>-43959.8030000007</v>
      </c>
    </row>
    <row r="53" s="24" customFormat="1" spans="1:51">
      <c r="A53" s="24" t="s">
        <v>105</v>
      </c>
      <c r="F53" s="65"/>
      <c r="G53" s="68">
        <v>0</v>
      </c>
      <c r="H53" s="71">
        <f>H52/$D$1</f>
        <v>0.00179637799999999</v>
      </c>
      <c r="I53" s="71">
        <f t="shared" ref="I53:M53" si="29">I52/$D$1</f>
        <v>0.000348708999999999</v>
      </c>
      <c r="J53" s="71">
        <f t="shared" si="29"/>
        <v>-0.000867079000000008</v>
      </c>
      <c r="K53" s="71">
        <f t="shared" si="29"/>
        <v>0.00033052549999997</v>
      </c>
      <c r="L53" s="71">
        <f t="shared" si="29"/>
        <v>-0.000907504500000018</v>
      </c>
      <c r="M53" s="71">
        <f t="shared" si="29"/>
        <v>-0.002568704</v>
      </c>
      <c r="N53" s="71">
        <f t="shared" ref="N53:U53" si="30">N52/$D$1</f>
        <v>-0.000805916000000011</v>
      </c>
      <c r="O53" s="71">
        <f t="shared" si="30"/>
        <v>-0.000794625500000039</v>
      </c>
      <c r="P53" s="71">
        <f t="shared" si="30"/>
        <v>0.00263221900000001</v>
      </c>
      <c r="Q53" s="71">
        <f t="shared" si="30"/>
        <v>0.00227759149999995</v>
      </c>
      <c r="R53" s="71">
        <f t="shared" si="30"/>
        <v>0.00552129850000003</v>
      </c>
      <c r="S53" s="71">
        <f t="shared" si="30"/>
        <v>0.00989076200000001</v>
      </c>
      <c r="T53" s="71">
        <f t="shared" si="30"/>
        <v>0.00632283199999997</v>
      </c>
      <c r="U53" s="80">
        <f t="shared" si="30"/>
        <v>0.00641809250000003</v>
      </c>
      <c r="V53" s="71">
        <f t="shared" ref="V53:AK53" si="31">V52/$D$1</f>
        <v>0.00135555549999999</v>
      </c>
      <c r="W53" s="71">
        <f t="shared" si="31"/>
        <v>0.00418207099999996</v>
      </c>
      <c r="X53" s="71">
        <f t="shared" si="31"/>
        <v>0.000136227999999996</v>
      </c>
      <c r="Y53" s="71">
        <f t="shared" si="31"/>
        <v>-0.00337978150000004</v>
      </c>
      <c r="Z53" s="71">
        <f t="shared" si="31"/>
        <v>-0.00217988250000002</v>
      </c>
      <c r="AA53" s="71"/>
      <c r="AB53" s="71"/>
      <c r="AC53" s="71"/>
      <c r="AD53" s="71">
        <f t="shared" si="31"/>
        <v>-0.00105182929999997</v>
      </c>
      <c r="AE53" s="71">
        <f t="shared" si="31"/>
        <v>-0.00288024839999997</v>
      </c>
      <c r="AF53" s="71">
        <f t="shared" si="31"/>
        <v>-0.0027377819</v>
      </c>
      <c r="AG53" s="71">
        <f t="shared" si="31"/>
        <v>0.000417558299999937</v>
      </c>
      <c r="AH53" s="71">
        <f t="shared" si="31"/>
        <v>0.00691884399999994</v>
      </c>
      <c r="AI53" s="71">
        <f t="shared" si="31"/>
        <v>0.0127909665999999</v>
      </c>
      <c r="AJ53" s="71">
        <f t="shared" si="31"/>
        <v>0.0203646799999999</v>
      </c>
      <c r="AK53" s="71">
        <f t="shared" si="31"/>
        <v>0.0283693474999999</v>
      </c>
      <c r="AL53" s="71">
        <f t="shared" ref="AL53:AY53" si="32">AL52/$D$1</f>
        <v>0.0242342785999999</v>
      </c>
      <c r="AM53" s="71">
        <f t="shared" si="32"/>
        <v>0.0327174159999999</v>
      </c>
      <c r="AN53" s="71">
        <f t="shared" si="32"/>
        <v>0.0330797356999999</v>
      </c>
      <c r="AO53" s="71">
        <f t="shared" si="32"/>
        <v>0.0285506477999999</v>
      </c>
      <c r="AP53" s="71">
        <f t="shared" si="32"/>
        <v>0.0336059725999999</v>
      </c>
      <c r="AQ53" s="71">
        <f t="shared" si="32"/>
        <v>0.0171304663999999</v>
      </c>
      <c r="AR53" s="71">
        <f t="shared" si="32"/>
        <v>-0.00144189910000008</v>
      </c>
      <c r="AS53" s="71">
        <f t="shared" si="32"/>
        <v>-4.29698000000846e-5</v>
      </c>
      <c r="AT53" s="71">
        <f t="shared" si="32"/>
        <v>0.00169086079999993</v>
      </c>
      <c r="AU53" s="71">
        <f t="shared" si="32"/>
        <v>-0.00338605300000007</v>
      </c>
      <c r="AV53" s="71">
        <f t="shared" si="32"/>
        <v>-0.00203136170000008</v>
      </c>
      <c r="AW53" s="71">
        <f t="shared" si="32"/>
        <v>-0.0114060352000001</v>
      </c>
      <c r="AX53" s="71">
        <f t="shared" si="32"/>
        <v>-0.00430955710000008</v>
      </c>
      <c r="AY53" s="71">
        <f t="shared" si="32"/>
        <v>-0.00439598030000007</v>
      </c>
    </row>
    <row r="54" spans="8:51">
      <c r="H54">
        <f>SUMPRODUCT((H5:H44),$F$5:$F$44)</f>
        <v>10045736.04</v>
      </c>
      <c r="I54">
        <f t="shared" ref="I54:Z54" si="33">SUMPRODUCT((I5:I44),$F$5:$F$44)</f>
        <v>9938673.11</v>
      </c>
      <c r="J54">
        <f t="shared" si="33"/>
        <v>9899713.95</v>
      </c>
      <c r="K54">
        <f t="shared" si="33"/>
        <v>9858442.755</v>
      </c>
      <c r="L54" s="76">
        <f t="shared" si="33"/>
        <v>9790074.175</v>
      </c>
      <c r="M54">
        <f t="shared" si="33"/>
        <v>9900247.97</v>
      </c>
      <c r="N54">
        <f t="shared" si="33"/>
        <v>9918726.08</v>
      </c>
      <c r="O54">
        <f t="shared" si="33"/>
        <v>9887811.935</v>
      </c>
      <c r="P54">
        <f t="shared" si="33"/>
        <v>9853795.49</v>
      </c>
      <c r="Q54">
        <f t="shared" si="33"/>
        <v>9984788.595</v>
      </c>
      <c r="R54">
        <f t="shared" si="33"/>
        <v>9976427.315</v>
      </c>
      <c r="S54">
        <f t="shared" si="33"/>
        <v>10040806.65</v>
      </c>
      <c r="T54">
        <f t="shared" si="33"/>
        <v>9962362.05</v>
      </c>
      <c r="U54">
        <f t="shared" si="33"/>
        <v>10034987.775</v>
      </c>
      <c r="V54">
        <f t="shared" si="33"/>
        <v>9990199.805</v>
      </c>
      <c r="W54">
        <f t="shared" si="33"/>
        <v>9904267.65</v>
      </c>
      <c r="X54">
        <f t="shared" si="33"/>
        <v>9577256.33</v>
      </c>
      <c r="Y54">
        <f t="shared" si="33"/>
        <v>9651039.885</v>
      </c>
      <c r="Z54">
        <f t="shared" si="33"/>
        <v>9649117.945</v>
      </c>
      <c r="AD54">
        <f>SUMPRODUCT((AD5:AD44),$AC$5:$AC$44)</f>
        <v>9919154.659</v>
      </c>
      <c r="AE54">
        <f t="shared" ref="AE54:AK54" si="34">SUMPRODUCT((AE5:AE44),$AC$5:$AC$44)</f>
        <v>9998190.368</v>
      </c>
      <c r="AF54">
        <f t="shared" si="34"/>
        <v>10043735.833</v>
      </c>
      <c r="AG54">
        <f t="shared" si="34"/>
        <v>10017020.435</v>
      </c>
      <c r="AH54">
        <f t="shared" si="34"/>
        <v>10082033.292</v>
      </c>
      <c r="AI54">
        <f t="shared" si="34"/>
        <v>10140754.518</v>
      </c>
      <c r="AJ54">
        <f t="shared" si="34"/>
        <v>10216491.652</v>
      </c>
      <c r="AK54">
        <f t="shared" si="34"/>
        <v>10296538.327</v>
      </c>
      <c r="AL54">
        <f t="shared" ref="AL54:AY54" si="35">SUMPRODUCT((AL5:AL44),$AC$5:$AC$44)</f>
        <v>10255187.638</v>
      </c>
      <c r="AM54">
        <f t="shared" si="35"/>
        <v>10340019.012</v>
      </c>
      <c r="AN54">
        <f t="shared" si="35"/>
        <v>10343642.209</v>
      </c>
      <c r="AO54">
        <f t="shared" si="35"/>
        <v>10298351.33</v>
      </c>
      <c r="AP54">
        <f t="shared" si="35"/>
        <v>10348904.578</v>
      </c>
      <c r="AQ54">
        <f t="shared" si="35"/>
        <v>10184149.516</v>
      </c>
      <c r="AR54">
        <f t="shared" si="35"/>
        <v>9998425.861</v>
      </c>
      <c r="AS54">
        <f t="shared" si="35"/>
        <v>10012415.154</v>
      </c>
      <c r="AT54">
        <f t="shared" si="35"/>
        <v>10029753.46</v>
      </c>
      <c r="AU54">
        <f t="shared" si="35"/>
        <v>9978984.322</v>
      </c>
      <c r="AV54">
        <f t="shared" si="35"/>
        <v>9992531.235</v>
      </c>
      <c r="AW54">
        <f t="shared" si="35"/>
        <v>9898784.5</v>
      </c>
      <c r="AX54">
        <f t="shared" si="35"/>
        <v>9969749.281</v>
      </c>
      <c r="AY54">
        <f t="shared" si="35"/>
        <v>9968885.049</v>
      </c>
    </row>
    <row r="56" spans="1:51">
      <c r="A56" t="s">
        <v>106</v>
      </c>
      <c r="G56" s="72">
        <v>0</v>
      </c>
      <c r="H56" s="52">
        <f>(H48-G48)*$F$48</f>
        <v>30189.51</v>
      </c>
      <c r="I56" s="52">
        <f t="shared" ref="I56:Z56" si="36">(I48-H48)*$F$48</f>
        <v>-92586.24</v>
      </c>
      <c r="J56" s="52">
        <f t="shared" si="36"/>
        <v>-26801.2799999999</v>
      </c>
      <c r="K56" s="52">
        <f t="shared" si="36"/>
        <v>-53247.24</v>
      </c>
      <c r="L56" s="52">
        <f t="shared" si="36"/>
        <v>-55988.2799999999</v>
      </c>
      <c r="M56" s="52">
        <f t="shared" si="36"/>
        <v>126785.79</v>
      </c>
      <c r="N56" s="52">
        <f t="shared" si="36"/>
        <v>850.230000000092</v>
      </c>
      <c r="O56" s="52">
        <f t="shared" si="36"/>
        <v>-31027.0499999998</v>
      </c>
      <c r="P56" s="52">
        <f t="shared" si="36"/>
        <v>-68284.8900000005</v>
      </c>
      <c r="Q56" s="52">
        <f t="shared" si="36"/>
        <v>134539.380000001</v>
      </c>
      <c r="R56" s="52">
        <f t="shared" si="36"/>
        <v>-40798.3500000007</v>
      </c>
      <c r="S56" s="52">
        <f t="shared" si="36"/>
        <v>20684.7000000002</v>
      </c>
      <c r="T56" s="52">
        <f t="shared" si="36"/>
        <v>-42765.2999999998</v>
      </c>
      <c r="U56" s="52">
        <f t="shared" si="36"/>
        <v>71673.1199999994</v>
      </c>
      <c r="V56" s="52">
        <f t="shared" si="36"/>
        <v>5837.40000000046</v>
      </c>
      <c r="W56" s="52">
        <f t="shared" si="36"/>
        <v>-114197.31</v>
      </c>
      <c r="X56" s="52">
        <f t="shared" si="36"/>
        <v>-286552.89</v>
      </c>
      <c r="Y56" s="52">
        <f t="shared" si="36"/>
        <v>108943.65</v>
      </c>
      <c r="Z56" s="52">
        <f t="shared" si="36"/>
        <v>-13920.9300000003</v>
      </c>
      <c r="AC56" s="50"/>
      <c r="AD56" s="52">
        <f>(AD48-Z48)*AC48</f>
        <v>18326.8999999997</v>
      </c>
      <c r="AE56" s="52">
        <f>(AE48-AD48)*$AC$48</f>
        <v>97319.9</v>
      </c>
      <c r="AF56" s="52">
        <f t="shared" ref="AF56:AY56" si="37">(AF48-AE48)*$AC$48</f>
        <v>44120.8000000004</v>
      </c>
      <c r="AG56" s="52">
        <f t="shared" si="37"/>
        <v>-58268.7999999994</v>
      </c>
      <c r="AH56" s="52">
        <f t="shared" si="37"/>
        <v>71918.9999999995</v>
      </c>
      <c r="AI56" s="52">
        <f t="shared" si="37"/>
        <v>67530.5000000002</v>
      </c>
      <c r="AJ56" s="52">
        <f t="shared" si="37"/>
        <v>85634.6999999999</v>
      </c>
      <c r="AK56" s="52">
        <f t="shared" si="37"/>
        <v>69574.0999999996</v>
      </c>
      <c r="AL56" s="52">
        <f t="shared" si="37"/>
        <v>-51613.9999999995</v>
      </c>
      <c r="AM56" s="52">
        <f t="shared" si="37"/>
        <v>124489.3</v>
      </c>
      <c r="AN56" s="52">
        <f t="shared" si="37"/>
        <v>-7925.50000000024</v>
      </c>
      <c r="AO56" s="52">
        <f t="shared" si="37"/>
        <v>-45509.3999999997</v>
      </c>
      <c r="AP56" s="52">
        <f t="shared" si="37"/>
        <v>41133.9999999995</v>
      </c>
      <c r="AQ56" s="52">
        <f t="shared" si="37"/>
        <v>-165911.5</v>
      </c>
      <c r="AR56" s="52">
        <f t="shared" si="37"/>
        <v>-174531.299999999</v>
      </c>
      <c r="AS56" s="52">
        <f t="shared" si="37"/>
        <v>44697.1999999999</v>
      </c>
      <c r="AT56" s="52">
        <f t="shared" si="37"/>
        <v>24457.7000000001</v>
      </c>
      <c r="AU56" s="52">
        <f t="shared" si="37"/>
        <v>-76897.000000001</v>
      </c>
      <c r="AV56" s="52">
        <f t="shared" si="37"/>
        <v>5240</v>
      </c>
      <c r="AW56" s="52">
        <f t="shared" si="37"/>
        <v>-70281.4999999995</v>
      </c>
      <c r="AX56" s="52">
        <f t="shared" si="37"/>
        <v>85752.6</v>
      </c>
      <c r="AY56" s="52">
        <f t="shared" si="37"/>
        <v>-27234.9</v>
      </c>
    </row>
    <row r="57" spans="1:51">
      <c r="A57" t="s">
        <v>107</v>
      </c>
      <c r="G57" s="3">
        <f>G56/$E$48</f>
        <v>0</v>
      </c>
      <c r="H57" s="3">
        <f t="shared" ref="H57:Z57" si="38">H56/$E$48</f>
        <v>0.00301962566288335</v>
      </c>
      <c r="I57" s="3">
        <f t="shared" si="38"/>
        <v>-0.00926069307961201</v>
      </c>
      <c r="J57" s="3">
        <f t="shared" si="38"/>
        <v>-0.0026807269440982</v>
      </c>
      <c r="K57" s="3">
        <f t="shared" si="38"/>
        <v>-0.00532591394764967</v>
      </c>
      <c r="L57" s="3">
        <f t="shared" si="38"/>
        <v>-0.00560007920329606</v>
      </c>
      <c r="M57" s="3">
        <f t="shared" si="38"/>
        <v>0.0126814123572373</v>
      </c>
      <c r="N57" s="3">
        <f t="shared" si="38"/>
        <v>8.5042000594034e-5</v>
      </c>
      <c r="O57" s="3">
        <f t="shared" si="38"/>
        <v>-0.0031033983798864</v>
      </c>
      <c r="P57" s="3">
        <f t="shared" si="38"/>
        <v>-0.0068300150029321</v>
      </c>
      <c r="Q57" s="3">
        <f t="shared" si="38"/>
        <v>0.0134569446313112</v>
      </c>
      <c r="R57" s="3">
        <f t="shared" si="38"/>
        <v>-0.0040807467449223</v>
      </c>
      <c r="S57" s="3">
        <f t="shared" si="38"/>
        <v>0.00206893225325764</v>
      </c>
      <c r="T57" s="3">
        <f t="shared" si="38"/>
        <v>-0.00427748570152032</v>
      </c>
      <c r="U57" s="3">
        <f t="shared" si="38"/>
        <v>0.00716891372171713</v>
      </c>
      <c r="V57" s="3">
        <f t="shared" si="38"/>
        <v>0.000583870451839619</v>
      </c>
      <c r="W57" s="3">
        <f t="shared" si="38"/>
        <v>-0.0114222830350094</v>
      </c>
      <c r="X57" s="3">
        <f t="shared" si="38"/>
        <v>-0.0286616927673683</v>
      </c>
      <c r="Y57" s="3">
        <f t="shared" si="38"/>
        <v>0.0108967996283538</v>
      </c>
      <c r="Z57" s="3">
        <f t="shared" si="38"/>
        <v>-0.00139240409927832</v>
      </c>
      <c r="AA57" s="4"/>
      <c r="AC57" s="50"/>
      <c r="AD57" s="3">
        <f>AD56/$AB$48</f>
        <v>0.00183268999917305</v>
      </c>
      <c r="AE57" s="3">
        <f>AE56/$AB$48</f>
        <v>0.00973198999560887</v>
      </c>
      <c r="AF57" s="3">
        <f t="shared" ref="AF57:AY57" si="39">AF56/$AB$48</f>
        <v>0.00441207999800928</v>
      </c>
      <c r="AG57" s="3">
        <f t="shared" si="39"/>
        <v>-0.00582687999737082</v>
      </c>
      <c r="AH57" s="3">
        <f t="shared" si="39"/>
        <v>0.00719189999675493</v>
      </c>
      <c r="AI57" s="3">
        <f t="shared" si="39"/>
        <v>0.00675304999695301</v>
      </c>
      <c r="AJ57" s="3">
        <f t="shared" si="39"/>
        <v>0.0085634699961361</v>
      </c>
      <c r="AK57" s="3">
        <f t="shared" si="39"/>
        <v>0.00695740999686074</v>
      </c>
      <c r="AL57" s="3">
        <f t="shared" si="39"/>
        <v>-0.0051613999976711</v>
      </c>
      <c r="AM57" s="3">
        <f t="shared" si="39"/>
        <v>0.0124489299943829</v>
      </c>
      <c r="AN57" s="3">
        <f t="shared" si="39"/>
        <v>-0.000792549999642421</v>
      </c>
      <c r="AO57" s="3">
        <f t="shared" si="39"/>
        <v>-0.00455093999794656</v>
      </c>
      <c r="AP57" s="3">
        <f t="shared" si="39"/>
        <v>0.00411339999814396</v>
      </c>
      <c r="AQ57" s="3">
        <f t="shared" si="39"/>
        <v>-0.0165911499925139</v>
      </c>
      <c r="AR57" s="3">
        <f t="shared" si="39"/>
        <v>-0.017453129992125</v>
      </c>
      <c r="AS57" s="3">
        <f t="shared" si="39"/>
        <v>0.00446971999798322</v>
      </c>
      <c r="AT57" s="3">
        <f t="shared" si="39"/>
        <v>0.00244576999889647</v>
      </c>
      <c r="AU57" s="3">
        <f t="shared" si="39"/>
        <v>-0.00768969999653046</v>
      </c>
      <c r="AV57" s="3">
        <f t="shared" si="39"/>
        <v>0.000523999999763568</v>
      </c>
      <c r="AW57" s="3">
        <f t="shared" si="39"/>
        <v>-0.00702814999682881</v>
      </c>
      <c r="AX57" s="3">
        <f t="shared" si="39"/>
        <v>0.0085752599961308</v>
      </c>
      <c r="AY57" s="3">
        <f t="shared" si="39"/>
        <v>-0.00272348999877114</v>
      </c>
    </row>
    <row r="58" spans="1:51">
      <c r="A58" t="s">
        <v>108</v>
      </c>
      <c r="G58" s="52">
        <f>G50</f>
        <v>0</v>
      </c>
      <c r="H58" s="52">
        <f>G58+H56</f>
        <v>30189.51</v>
      </c>
      <c r="I58" s="52">
        <f t="shared" ref="I58:Z58" si="40">H58+I56</f>
        <v>-62396.7300000001</v>
      </c>
      <c r="J58" s="52">
        <f t="shared" si="40"/>
        <v>-89198.01</v>
      </c>
      <c r="K58" s="52">
        <f t="shared" si="40"/>
        <v>-142445.25</v>
      </c>
      <c r="L58" s="52">
        <f t="shared" si="40"/>
        <v>-198433.53</v>
      </c>
      <c r="M58" s="52">
        <f t="shared" si="40"/>
        <v>-71647.74</v>
      </c>
      <c r="N58" s="52">
        <f t="shared" si="40"/>
        <v>-70797.5099999999</v>
      </c>
      <c r="O58" s="52">
        <f t="shared" si="40"/>
        <v>-101824.56</v>
      </c>
      <c r="P58" s="52">
        <f t="shared" si="40"/>
        <v>-170109.45</v>
      </c>
      <c r="Q58" s="52">
        <f t="shared" si="40"/>
        <v>-35570.0699999997</v>
      </c>
      <c r="R58" s="52">
        <f t="shared" si="40"/>
        <v>-76368.4200000003</v>
      </c>
      <c r="S58" s="52">
        <f t="shared" si="40"/>
        <v>-55683.7200000001</v>
      </c>
      <c r="T58" s="52">
        <f t="shared" si="40"/>
        <v>-98449.0199999999</v>
      </c>
      <c r="U58" s="52">
        <f t="shared" si="40"/>
        <v>-26775.9000000004</v>
      </c>
      <c r="V58" s="52">
        <f t="shared" si="40"/>
        <v>-20938.5</v>
      </c>
      <c r="W58" s="52">
        <f t="shared" si="40"/>
        <v>-135135.81</v>
      </c>
      <c r="X58" s="52">
        <f t="shared" si="40"/>
        <v>-421688.7</v>
      </c>
      <c r="Y58" s="52">
        <f t="shared" si="40"/>
        <v>-312745.05</v>
      </c>
      <c r="Z58" s="52">
        <f t="shared" si="40"/>
        <v>-326665.98</v>
      </c>
      <c r="AC58" s="50"/>
      <c r="AD58" s="52">
        <f>Z58+AD56</f>
        <v>-308339.08</v>
      </c>
      <c r="AE58" s="52">
        <f>AD58+AE56</f>
        <v>-211019.18</v>
      </c>
      <c r="AF58" s="52">
        <f>AE58+AF56</f>
        <v>-166898.38</v>
      </c>
      <c r="AG58" s="52">
        <f t="shared" ref="AG58:AY58" si="41">AF58+AG56</f>
        <v>-225167.179999999</v>
      </c>
      <c r="AH58" s="52">
        <f t="shared" si="41"/>
        <v>-153248.18</v>
      </c>
      <c r="AI58" s="52">
        <f t="shared" si="41"/>
        <v>-85717.6799999996</v>
      </c>
      <c r="AJ58" s="52">
        <f t="shared" si="41"/>
        <v>-82.9799999997922</v>
      </c>
      <c r="AK58" s="52">
        <f t="shared" si="41"/>
        <v>69491.1199999998</v>
      </c>
      <c r="AL58" s="52">
        <f t="shared" si="41"/>
        <v>17877.1200000003</v>
      </c>
      <c r="AM58" s="52">
        <f t="shared" si="41"/>
        <v>142366.42</v>
      </c>
      <c r="AN58" s="52">
        <f t="shared" si="41"/>
        <v>134440.92</v>
      </c>
      <c r="AO58" s="52">
        <f t="shared" si="41"/>
        <v>88931.52</v>
      </c>
      <c r="AP58" s="52">
        <f t="shared" si="41"/>
        <v>130065.519999999</v>
      </c>
      <c r="AQ58" s="52">
        <f t="shared" si="41"/>
        <v>-35845.98</v>
      </c>
      <c r="AR58" s="52">
        <f t="shared" si="41"/>
        <v>-210377.279999999</v>
      </c>
      <c r="AS58" s="52">
        <f t="shared" si="41"/>
        <v>-165680.08</v>
      </c>
      <c r="AT58" s="52">
        <f t="shared" si="41"/>
        <v>-141222.38</v>
      </c>
      <c r="AU58" s="52">
        <f t="shared" si="41"/>
        <v>-218119.38</v>
      </c>
      <c r="AV58" s="52">
        <f t="shared" si="41"/>
        <v>-212879.38</v>
      </c>
      <c r="AW58" s="52">
        <f t="shared" si="41"/>
        <v>-283160.88</v>
      </c>
      <c r="AX58" s="52">
        <f t="shared" si="41"/>
        <v>-197408.28</v>
      </c>
      <c r="AY58" s="52">
        <f t="shared" si="41"/>
        <v>-224643.18</v>
      </c>
    </row>
    <row r="59" spans="1:51">
      <c r="A59" t="s">
        <v>109</v>
      </c>
      <c r="G59" s="3">
        <f>G58/$E$46</f>
        <v>0</v>
      </c>
      <c r="H59" s="3">
        <f t="shared" ref="H59:Z59" si="42">H58/$E$46</f>
        <v>0.003018951</v>
      </c>
      <c r="I59" s="3">
        <f t="shared" si="42"/>
        <v>-0.00623967300000001</v>
      </c>
      <c r="J59" s="3">
        <f t="shared" si="42"/>
        <v>-0.00891980099999999</v>
      </c>
      <c r="K59" s="3">
        <f t="shared" si="42"/>
        <v>-0.014244525</v>
      </c>
      <c r="L59" s="3">
        <f t="shared" si="42"/>
        <v>-0.019843353</v>
      </c>
      <c r="M59" s="3">
        <f t="shared" si="42"/>
        <v>-0.007164774</v>
      </c>
      <c r="N59" s="3">
        <f t="shared" si="42"/>
        <v>-0.00707975099999999</v>
      </c>
      <c r="O59" s="3">
        <f t="shared" si="42"/>
        <v>-0.010182456</v>
      </c>
      <c r="P59" s="3">
        <f t="shared" si="42"/>
        <v>-0.017010945</v>
      </c>
      <c r="Q59" s="3">
        <f t="shared" si="42"/>
        <v>-0.00355700699999997</v>
      </c>
      <c r="R59" s="3">
        <f t="shared" si="42"/>
        <v>-0.00763684200000004</v>
      </c>
      <c r="S59" s="3">
        <f t="shared" si="42"/>
        <v>-0.00556837200000001</v>
      </c>
      <c r="T59" s="3">
        <f t="shared" si="42"/>
        <v>-0.00984490199999999</v>
      </c>
      <c r="U59" s="3">
        <f t="shared" si="42"/>
        <v>-0.00267759000000004</v>
      </c>
      <c r="V59" s="3">
        <f t="shared" si="42"/>
        <v>-0.00209385</v>
      </c>
      <c r="W59" s="3">
        <f t="shared" si="42"/>
        <v>-0.013513581</v>
      </c>
      <c r="X59" s="3">
        <f t="shared" si="42"/>
        <v>-0.04216887</v>
      </c>
      <c r="Y59" s="3">
        <f t="shared" si="42"/>
        <v>-0.031274505</v>
      </c>
      <c r="Z59" s="3">
        <f t="shared" si="42"/>
        <v>-0.032666598</v>
      </c>
      <c r="AC59" s="50"/>
      <c r="AD59" s="3">
        <f>AD58/$AB$48</f>
        <v>-0.0308339079860876</v>
      </c>
      <c r="AE59" s="3">
        <f t="shared" ref="AE59:AY59" si="43">AE58/$AB$48</f>
        <v>-0.0211019179904787</v>
      </c>
      <c r="AF59" s="3">
        <f t="shared" si="43"/>
        <v>-0.0166898379924695</v>
      </c>
      <c r="AG59" s="3">
        <f t="shared" si="43"/>
        <v>-0.0225167179898403</v>
      </c>
      <c r="AH59" s="3">
        <f t="shared" si="43"/>
        <v>-0.0153248179930853</v>
      </c>
      <c r="AI59" s="3">
        <f t="shared" si="43"/>
        <v>-0.00857176799613234</v>
      </c>
      <c r="AJ59" s="3">
        <f t="shared" si="43"/>
        <v>-8.29799999623512e-6</v>
      </c>
      <c r="AK59" s="3">
        <f t="shared" si="43"/>
        <v>0.0069491119968645</v>
      </c>
      <c r="AL59" s="3">
        <f t="shared" si="43"/>
        <v>0.0017877119991934</v>
      </c>
      <c r="AM59" s="3">
        <f t="shared" si="43"/>
        <v>0.0142366419935763</v>
      </c>
      <c r="AN59" s="3">
        <f t="shared" si="43"/>
        <v>0.0134440919939339</v>
      </c>
      <c r="AO59" s="3">
        <f t="shared" si="43"/>
        <v>0.00889315199598736</v>
      </c>
      <c r="AP59" s="3">
        <f t="shared" si="43"/>
        <v>0.0130065519941313</v>
      </c>
      <c r="AQ59" s="3">
        <f t="shared" si="43"/>
        <v>-0.00358459799838261</v>
      </c>
      <c r="AR59" s="3">
        <f t="shared" si="43"/>
        <v>-0.0210377279905076</v>
      </c>
      <c r="AS59" s="3">
        <f t="shared" si="43"/>
        <v>-0.0165680079925244</v>
      </c>
      <c r="AT59" s="3">
        <f t="shared" si="43"/>
        <v>-0.0141222379936279</v>
      </c>
      <c r="AU59" s="3">
        <f t="shared" si="43"/>
        <v>-0.0218119379901584</v>
      </c>
      <c r="AV59" s="3">
        <f t="shared" si="43"/>
        <v>-0.0212879379903948</v>
      </c>
      <c r="AW59" s="3">
        <f t="shared" si="43"/>
        <v>-0.0283160879872236</v>
      </c>
      <c r="AX59" s="3">
        <f t="shared" si="43"/>
        <v>-0.0197408279910928</v>
      </c>
      <c r="AY59" s="3">
        <f t="shared" si="43"/>
        <v>-0.022464317989864</v>
      </c>
    </row>
    <row r="60" spans="29:29">
      <c r="AC60" s="50"/>
    </row>
    <row r="61" spans="29:29">
      <c r="AC61" s="50"/>
    </row>
    <row r="62" spans="1:51">
      <c r="A62" t="s">
        <v>110</v>
      </c>
      <c r="G62" s="52">
        <v>0</v>
      </c>
      <c r="H62" s="52" cm="1">
        <f t="array" ref="H62">SUMPRODUCT(H5:H44-G5:G44,$F$5:$F$44)</f>
        <v>48153.2899999999</v>
      </c>
      <c r="I62" s="52" cm="1">
        <f t="array" ref="I62">SUMPRODUCT(I5:I44-H5:H44,$F$5:$F$44)</f>
        <v>-107062.93</v>
      </c>
      <c r="J62" s="52" cm="1">
        <f t="array" ref="J62">SUMPRODUCT(J5:J44-I5:I44,$F$5:$F$44)</f>
        <v>-38959.1599999999</v>
      </c>
      <c r="K62" s="52" cm="1">
        <f t="array" ref="K62">SUMPRODUCT(K5:K44-J5:J44,$F$5:$F$44)</f>
        <v>-41271.1950000003</v>
      </c>
      <c r="L62" s="52" cm="1">
        <f t="array" ref="L62">SUMPRODUCT(L5:L44-K5:K44,$F$5:$F$44)</f>
        <v>-68368.5799999997</v>
      </c>
      <c r="M62" s="52" cm="1">
        <f t="array" ref="M62">SUMPRODUCT(M5:M44-L5:L44,$F$5:$F$44)</f>
        <v>110173.795</v>
      </c>
      <c r="N62" s="52" cm="1">
        <f t="array" ref="N62">SUMPRODUCT(N5:N44-M5:M44,$F$5:$F$44)</f>
        <v>18478.11</v>
      </c>
      <c r="O62" s="52" cm="1">
        <f t="array" ref="O62">SUMPRODUCT(O5:O44-N5:N44,$F$5:$F$44)</f>
        <v>-30914.1450000001</v>
      </c>
      <c r="P62" s="52" cm="1">
        <f t="array" ref="P62">SUMPRODUCT(P5:P44-O5:O44,$F$5:$F$44)</f>
        <v>-34016.445</v>
      </c>
      <c r="Q62" s="52" cm="1">
        <f t="array" ref="Q62">SUMPRODUCT(Q5:Q44-P5:P44,$F$5:$F$44)</f>
        <v>130993.105</v>
      </c>
      <c r="R62" s="52" cm="1">
        <f t="array" ref="R62">SUMPRODUCT(R5:R44-Q5:Q44,$F$5:$F$44)</f>
        <v>-8361.27999999996</v>
      </c>
      <c r="S62" s="52" cm="1">
        <f t="array" ref="S62">SUMPRODUCT(S5:S44-R5:R44,$F$5:$F$44)</f>
        <v>64379.335</v>
      </c>
      <c r="T62" s="52" cm="1">
        <f t="array" ref="T62">SUMPRODUCT(T5:T44-S5:S44,$F$5:$F$44)</f>
        <v>-78444.6000000001</v>
      </c>
      <c r="U62" s="52" cm="1">
        <f t="array" ref="U62">SUMPRODUCT(U5:U44-T5:T44,$F$5:$F$44)</f>
        <v>72625.725</v>
      </c>
      <c r="V62" s="52" cm="1">
        <f t="array" ref="V62">SUMPRODUCT(V5:V44-U5:U44,$F$5:$F$44)</f>
        <v>-44787.9699999999</v>
      </c>
      <c r="W62" s="52" cm="1">
        <f t="array" ref="W62">SUMPRODUCT(W5:W44-V5:V44,$F$5:$F$44)</f>
        <v>-85932.155</v>
      </c>
      <c r="X62" s="52" cm="1">
        <f t="array" ref="X62">SUMPRODUCT(X5:X44-W5:W44,$F$5:$F$44)</f>
        <v>-327011.32</v>
      </c>
      <c r="Y62" s="52" cm="1">
        <f t="array" ref="Y62">SUMPRODUCT(Y5:Y44-X5:X44,$F$5:$F$44)</f>
        <v>73783.5550000001</v>
      </c>
      <c r="Z62" s="52" cm="1">
        <f t="array" ref="Z62">SUMPRODUCT(Z5:Z44-Y5:Y44,$F$5:$F$44)</f>
        <v>-1921.94000000007</v>
      </c>
      <c r="AC62" s="50"/>
      <c r="AD62" s="52" cm="1">
        <f t="array" ref="AD62">SUMPRODUCT(AD5:AD44-Z5:Z44,$AC$5:$AC$44)</f>
        <v>29607.4320000002</v>
      </c>
      <c r="AE62" s="52" cm="1">
        <f t="array" ref="AE62">SUMPRODUCT(AE5:AE44-AD5:AD44,$AC$5:$AC$44)</f>
        <v>79035.7089999999</v>
      </c>
      <c r="AF62" s="52" cm="1">
        <f t="array" ref="AF62">SUMPRODUCT(AF5:AF44-AE5:AE44,$AC$5:$AC$44)</f>
        <v>45545.4650000001</v>
      </c>
      <c r="AG62" s="52" cm="1">
        <f t="array" ref="AG62">SUMPRODUCT(AG5:AG44-AF5:AF44,$AC$5:$AC$44)</f>
        <v>-26715.398</v>
      </c>
      <c r="AH62" s="52" cm="1">
        <f t="array" ref="AH62">SUMPRODUCT(AH5:AH44-AG5:AG44,$AC$5:$AC$44)</f>
        <v>65012.8570000001</v>
      </c>
      <c r="AI62" s="52" cm="1">
        <f t="array" ref="AI62">SUMPRODUCT(AI5:AI44-AH5:AH44,$AC$5:$AC$44)</f>
        <v>58721.2259999998</v>
      </c>
      <c r="AJ62" s="52" cm="1">
        <f t="array" ref="AJ62">SUMPRODUCT(AJ5:AJ44-AI5:AI44,$AC$5:$AC$44)</f>
        <v>75737.1340000002</v>
      </c>
      <c r="AK62" s="52" cm="1">
        <f t="array" ref="AK62">SUMPRODUCT(AK5:AK44-AJ5:AJ44,$AC$5:$AC$44)</f>
        <v>80046.6749999998</v>
      </c>
      <c r="AL62" s="52" cm="1">
        <f t="array" ref="AL62">SUMPRODUCT(AL5:AL44-AK5:AK44,$AC$5:$AC$44)</f>
        <v>-41350.6889999999</v>
      </c>
      <c r="AM62" s="52" cm="1">
        <f t="array" ref="AM62">SUMPRODUCT(AM5:AM44-AL5:AL44,$AC$5:$AC$44)</f>
        <v>84831.3739999999</v>
      </c>
      <c r="AN62" s="52" cm="1">
        <f t="array" ref="AN62">SUMPRODUCT(AN5:AN44-AM5:AM44,$AC$5:$AC$44)</f>
        <v>3623.19699999995</v>
      </c>
      <c r="AO62" s="52" cm="1">
        <f t="array" ref="AO62">SUMPRODUCT(AO5:AO44-AN5:AN44,$AC$5:$AC$44)</f>
        <v>-45290.8789999999</v>
      </c>
      <c r="AP62" s="52" cm="1">
        <f t="array" ref="AP62">SUMPRODUCT(AP5:AP44-AO5:AO44,$AC$5:$AC$44)</f>
        <v>50553.2480000001</v>
      </c>
      <c r="AQ62" s="52" cm="1">
        <f t="array" ref="AQ62">SUMPRODUCT(AQ5:AQ44-AP5:AP44,$AC$5:$AC$44)</f>
        <v>-164755.062</v>
      </c>
      <c r="AR62" s="52" cm="1">
        <f t="array" ref="AR62">SUMPRODUCT(AR5:AR44-AQ5:AQ44,$AC$5:$AC$44)</f>
        <v>-185723.655</v>
      </c>
      <c r="AS62" s="52" cm="1">
        <f t="array" ref="AS62">SUMPRODUCT(AS5:AS44-AR5:AR44,$AC$5:$AC$44)</f>
        <v>13989.2929999999</v>
      </c>
      <c r="AT62" s="52" cm="1">
        <f t="array" ref="AT62">SUMPRODUCT(AT5:AT44-AS5:AS44,$AC$5:$AC$44)</f>
        <v>17338.3060000002</v>
      </c>
      <c r="AU62" s="52" cm="1">
        <f t="array" ref="AU62">SUMPRODUCT(AU5:AU44-AT5:AT44,$AC$5:$AC$44)</f>
        <v>-50769.138</v>
      </c>
      <c r="AV62" s="52" cm="1">
        <f t="array" ref="AV62">SUMPRODUCT(AV5:AV44-AU5:AU44,$AC$5:$AC$44)</f>
        <v>13546.9129999999</v>
      </c>
      <c r="AW62" s="52" cm="1">
        <f t="array" ref="AW62">SUMPRODUCT(AW5:AW44-AV5:AV44,$AC$5:$AC$44)</f>
        <v>-93746.735</v>
      </c>
      <c r="AX62" s="52" cm="1">
        <f t="array" ref="AX62">SUMPRODUCT(AX5:AX44-AW5:AW44,$AC$5:$AC$44)</f>
        <v>70964.781</v>
      </c>
      <c r="AY62" s="52" cm="1">
        <f t="array" ref="AY62">SUMPRODUCT(AY5:AY44-AX5:AX44,$AC$5:$AC$44)</f>
        <v>-864.23199999994</v>
      </c>
    </row>
    <row r="63" spans="1:51">
      <c r="A63" t="s">
        <v>111</v>
      </c>
      <c r="G63" s="3">
        <f>G62/$D$1</f>
        <v>0</v>
      </c>
      <c r="H63" s="3">
        <f t="shared" ref="H63:Z63" si="44">H62/$D$1</f>
        <v>0.00481532899999999</v>
      </c>
      <c r="I63" s="3">
        <f t="shared" si="44"/>
        <v>-0.010706293</v>
      </c>
      <c r="J63" s="3">
        <f t="shared" si="44"/>
        <v>-0.00389591599999999</v>
      </c>
      <c r="K63" s="3">
        <f t="shared" si="44"/>
        <v>-0.00412711950000003</v>
      </c>
      <c r="L63" s="3">
        <f t="shared" si="44"/>
        <v>-0.00683685799999997</v>
      </c>
      <c r="M63" s="3">
        <f t="shared" si="44"/>
        <v>0.0110173795</v>
      </c>
      <c r="N63" s="3">
        <f t="shared" si="44"/>
        <v>0.001847811</v>
      </c>
      <c r="O63" s="3">
        <f t="shared" si="44"/>
        <v>-0.00309141450000001</v>
      </c>
      <c r="P63" s="3">
        <f t="shared" si="44"/>
        <v>-0.0034016445</v>
      </c>
      <c r="Q63" s="3">
        <f t="shared" si="44"/>
        <v>0.0130993105</v>
      </c>
      <c r="R63" s="3">
        <f t="shared" si="44"/>
        <v>-0.000836127999999996</v>
      </c>
      <c r="S63" s="3">
        <f t="shared" si="44"/>
        <v>0.0064379335</v>
      </c>
      <c r="T63" s="3">
        <f t="shared" si="44"/>
        <v>-0.00784446000000001</v>
      </c>
      <c r="U63" s="3">
        <f t="shared" si="44"/>
        <v>0.0072625725</v>
      </c>
      <c r="V63" s="3">
        <f t="shared" si="44"/>
        <v>-0.00447879699999999</v>
      </c>
      <c r="W63" s="3">
        <f t="shared" si="44"/>
        <v>-0.0085932155</v>
      </c>
      <c r="X63" s="3">
        <f t="shared" si="44"/>
        <v>-0.032701132</v>
      </c>
      <c r="Y63" s="3">
        <f t="shared" si="44"/>
        <v>0.00737835550000001</v>
      </c>
      <c r="Z63" s="3">
        <f t="shared" si="44"/>
        <v>-0.000192194000000007</v>
      </c>
      <c r="AC63" s="50"/>
      <c r="AD63" s="3">
        <f>AD62/$D$1</f>
        <v>0.00296074320000002</v>
      </c>
      <c r="AE63" s="3">
        <f t="shared" ref="AE63:AY63" si="45">AE62/$D$1</f>
        <v>0.0079035709</v>
      </c>
      <c r="AF63" s="3">
        <f t="shared" si="45"/>
        <v>0.00455454650000001</v>
      </c>
      <c r="AG63" s="3">
        <f t="shared" si="45"/>
        <v>-0.0026715398</v>
      </c>
      <c r="AH63" s="3">
        <f t="shared" si="45"/>
        <v>0.00650128570000001</v>
      </c>
      <c r="AI63" s="3">
        <f t="shared" si="45"/>
        <v>0.00587212259999998</v>
      </c>
      <c r="AJ63" s="3">
        <f t="shared" si="45"/>
        <v>0.00757371340000002</v>
      </c>
      <c r="AK63" s="3">
        <f t="shared" si="45"/>
        <v>0.00800466749999998</v>
      </c>
      <c r="AL63" s="3">
        <f t="shared" si="45"/>
        <v>-0.00413506889999999</v>
      </c>
      <c r="AM63" s="3">
        <f t="shared" si="45"/>
        <v>0.00848313739999999</v>
      </c>
      <c r="AN63" s="3">
        <f t="shared" si="45"/>
        <v>0.000362319699999995</v>
      </c>
      <c r="AO63" s="3">
        <f t="shared" si="45"/>
        <v>-0.00452908789999999</v>
      </c>
      <c r="AP63" s="3">
        <f t="shared" si="45"/>
        <v>0.00505532480000001</v>
      </c>
      <c r="AQ63" s="3">
        <f t="shared" si="45"/>
        <v>-0.0164755062</v>
      </c>
      <c r="AR63" s="3">
        <f t="shared" si="45"/>
        <v>-0.0185723655</v>
      </c>
      <c r="AS63" s="3">
        <f t="shared" si="45"/>
        <v>0.00139892929999999</v>
      </c>
      <c r="AT63" s="3">
        <f t="shared" si="45"/>
        <v>0.00173383060000002</v>
      </c>
      <c r="AU63" s="3">
        <f t="shared" si="45"/>
        <v>-0.0050769138</v>
      </c>
      <c r="AV63" s="3">
        <f t="shared" si="45"/>
        <v>0.00135469129999999</v>
      </c>
      <c r="AW63" s="3">
        <f t="shared" si="45"/>
        <v>-0.0093746735</v>
      </c>
      <c r="AX63" s="3">
        <f t="shared" si="45"/>
        <v>0.0070964781</v>
      </c>
      <c r="AY63" s="3">
        <f t="shared" si="45"/>
        <v>-8.6423199999994e-5</v>
      </c>
    </row>
    <row r="64" spans="1:51">
      <c r="A64" t="s">
        <v>112</v>
      </c>
      <c r="G64" s="52">
        <f>G62</f>
        <v>0</v>
      </c>
      <c r="H64" s="52">
        <f>G64+H62</f>
        <v>48153.2899999999</v>
      </c>
      <c r="I64" s="52">
        <f t="shared" ref="I64:Z64" si="46">H64+I62</f>
        <v>-58909.6400000001</v>
      </c>
      <c r="J64" s="52">
        <f t="shared" si="46"/>
        <v>-97868.8</v>
      </c>
      <c r="K64" s="52">
        <f t="shared" si="46"/>
        <v>-139139.995</v>
      </c>
      <c r="L64" s="52">
        <f t="shared" si="46"/>
        <v>-207508.575</v>
      </c>
      <c r="M64" s="52">
        <f t="shared" si="46"/>
        <v>-97334.7800000001</v>
      </c>
      <c r="N64" s="52">
        <f t="shared" si="46"/>
        <v>-78856.67</v>
      </c>
      <c r="O64" s="52">
        <f t="shared" si="46"/>
        <v>-109770.815</v>
      </c>
      <c r="P64" s="52">
        <f t="shared" si="46"/>
        <v>-143787.26</v>
      </c>
      <c r="Q64" s="52">
        <f t="shared" si="46"/>
        <v>-12794.1550000001</v>
      </c>
      <c r="R64" s="52">
        <f t="shared" si="46"/>
        <v>-21155.4350000001</v>
      </c>
      <c r="S64" s="52">
        <f t="shared" si="46"/>
        <v>43223.8999999999</v>
      </c>
      <c r="T64" s="52">
        <f t="shared" si="46"/>
        <v>-35220.7000000002</v>
      </c>
      <c r="U64" s="52">
        <f t="shared" si="46"/>
        <v>37405.0249999998</v>
      </c>
      <c r="V64" s="52">
        <f t="shared" si="46"/>
        <v>-7382.9450000001</v>
      </c>
      <c r="W64" s="52">
        <f t="shared" si="46"/>
        <v>-93315.1000000001</v>
      </c>
      <c r="X64" s="52">
        <f t="shared" si="46"/>
        <v>-420326.42</v>
      </c>
      <c r="Y64" s="52">
        <f t="shared" si="46"/>
        <v>-346542.865</v>
      </c>
      <c r="Z64" s="52">
        <f t="shared" si="46"/>
        <v>-348464.805</v>
      </c>
      <c r="AC64" s="50"/>
      <c r="AD64" s="52">
        <f>Z64+AD62</f>
        <v>-318857.373</v>
      </c>
      <c r="AE64" s="52">
        <f t="shared" ref="AE64:AY64" si="47">AD64+AE62</f>
        <v>-239821.664</v>
      </c>
      <c r="AF64" s="52">
        <f t="shared" si="47"/>
        <v>-194276.199</v>
      </c>
      <c r="AG64" s="52">
        <f t="shared" si="47"/>
        <v>-220991.597</v>
      </c>
      <c r="AH64" s="52">
        <f t="shared" si="47"/>
        <v>-155978.74</v>
      </c>
      <c r="AI64" s="52">
        <f t="shared" si="47"/>
        <v>-97257.5140000001</v>
      </c>
      <c r="AJ64" s="52">
        <f t="shared" si="47"/>
        <v>-21520.38</v>
      </c>
      <c r="AK64" s="52">
        <f t="shared" si="47"/>
        <v>58526.2949999998</v>
      </c>
      <c r="AL64" s="52">
        <f t="shared" si="47"/>
        <v>17175.6059999999</v>
      </c>
      <c r="AM64" s="52">
        <f t="shared" si="47"/>
        <v>102006.98</v>
      </c>
      <c r="AN64" s="52">
        <f t="shared" si="47"/>
        <v>105630.177</v>
      </c>
      <c r="AO64" s="52">
        <f t="shared" si="47"/>
        <v>60339.2979999998</v>
      </c>
      <c r="AP64" s="52">
        <f t="shared" si="47"/>
        <v>110892.546</v>
      </c>
      <c r="AQ64" s="52">
        <f t="shared" si="47"/>
        <v>-53862.5160000001</v>
      </c>
      <c r="AR64" s="52">
        <f t="shared" si="47"/>
        <v>-239586.171</v>
      </c>
      <c r="AS64" s="52">
        <f t="shared" si="47"/>
        <v>-225596.878</v>
      </c>
      <c r="AT64" s="52">
        <f t="shared" si="47"/>
        <v>-208258.572</v>
      </c>
      <c r="AU64" s="52">
        <f t="shared" si="47"/>
        <v>-259027.71</v>
      </c>
      <c r="AV64" s="52">
        <f t="shared" si="47"/>
        <v>-245480.797</v>
      </c>
      <c r="AW64" s="52">
        <f t="shared" si="47"/>
        <v>-339227.532</v>
      </c>
      <c r="AX64" s="52">
        <f t="shared" si="47"/>
        <v>-268262.751</v>
      </c>
      <c r="AY64" s="52">
        <f t="shared" si="47"/>
        <v>-269126.983</v>
      </c>
    </row>
    <row r="65" spans="1:51">
      <c r="A65" t="s">
        <v>113</v>
      </c>
      <c r="G65" s="3">
        <f>G64/$D$1</f>
        <v>0</v>
      </c>
      <c r="H65" s="3">
        <f t="shared" ref="H65:Z65" si="48">H64/$D$1</f>
        <v>0.00481532899999999</v>
      </c>
      <c r="I65" s="3">
        <f t="shared" si="48"/>
        <v>-0.00589096400000001</v>
      </c>
      <c r="J65" s="3">
        <f t="shared" si="48"/>
        <v>-0.00978688</v>
      </c>
      <c r="K65" s="3">
        <f t="shared" si="48"/>
        <v>-0.0139139995</v>
      </c>
      <c r="L65" s="3">
        <f t="shared" si="48"/>
        <v>-0.0207508575</v>
      </c>
      <c r="M65" s="3">
        <f t="shared" si="48"/>
        <v>-0.00973347800000001</v>
      </c>
      <c r="N65" s="3">
        <f t="shared" si="48"/>
        <v>-0.007885667</v>
      </c>
      <c r="O65" s="3">
        <f t="shared" si="48"/>
        <v>-0.0109770815</v>
      </c>
      <c r="P65" s="3">
        <f t="shared" si="48"/>
        <v>-0.014378726</v>
      </c>
      <c r="Q65" s="3">
        <f t="shared" si="48"/>
        <v>-0.00127941550000001</v>
      </c>
      <c r="R65" s="3">
        <f t="shared" si="48"/>
        <v>-0.00211554350000001</v>
      </c>
      <c r="S65" s="3">
        <f t="shared" si="48"/>
        <v>0.00432238999999999</v>
      </c>
      <c r="T65" s="3">
        <f t="shared" si="48"/>
        <v>-0.00352207000000002</v>
      </c>
      <c r="U65" s="3">
        <f t="shared" si="48"/>
        <v>0.00374050249999998</v>
      </c>
      <c r="V65" s="3">
        <f t="shared" si="48"/>
        <v>-0.00073829450000001</v>
      </c>
      <c r="W65" s="3">
        <f t="shared" si="48"/>
        <v>-0.00933151000000001</v>
      </c>
      <c r="X65" s="3">
        <f t="shared" si="48"/>
        <v>-0.042032642</v>
      </c>
      <c r="Y65" s="3">
        <f t="shared" si="48"/>
        <v>-0.0346542865</v>
      </c>
      <c r="Z65" s="3">
        <f t="shared" si="48"/>
        <v>-0.0348464805</v>
      </c>
      <c r="AC65" s="50"/>
      <c r="AD65" s="3">
        <f t="shared" ref="AD65:AY65" si="49">AD64/$D$1</f>
        <v>-0.0318857373</v>
      </c>
      <c r="AE65" s="3">
        <f t="shared" si="49"/>
        <v>-0.0239821664</v>
      </c>
      <c r="AF65" s="3">
        <f t="shared" si="49"/>
        <v>-0.0194276199</v>
      </c>
      <c r="AG65" s="3">
        <f t="shared" si="49"/>
        <v>-0.0220991597</v>
      </c>
      <c r="AH65" s="3">
        <f t="shared" si="49"/>
        <v>-0.015597874</v>
      </c>
      <c r="AI65" s="3">
        <f t="shared" si="49"/>
        <v>-0.00972575140000001</v>
      </c>
      <c r="AJ65" s="3">
        <f t="shared" si="49"/>
        <v>-0.002152038</v>
      </c>
      <c r="AK65" s="3">
        <f t="shared" si="49"/>
        <v>0.00585262949999998</v>
      </c>
      <c r="AL65" s="3">
        <f t="shared" si="49"/>
        <v>0.00171756059999999</v>
      </c>
      <c r="AM65" s="3">
        <f t="shared" si="49"/>
        <v>0.010200698</v>
      </c>
      <c r="AN65" s="3">
        <f t="shared" si="49"/>
        <v>0.0105630177</v>
      </c>
      <c r="AO65" s="3">
        <f t="shared" si="49"/>
        <v>0.00603392979999998</v>
      </c>
      <c r="AP65" s="3">
        <f t="shared" si="49"/>
        <v>0.0110892546</v>
      </c>
      <c r="AQ65" s="3">
        <f t="shared" si="49"/>
        <v>-0.00538625160000001</v>
      </c>
      <c r="AR65" s="3">
        <f t="shared" si="49"/>
        <v>-0.0239586171</v>
      </c>
      <c r="AS65" s="3">
        <f t="shared" si="49"/>
        <v>-0.0225596878</v>
      </c>
      <c r="AT65" s="3">
        <f t="shared" si="49"/>
        <v>-0.0208258572</v>
      </c>
      <c r="AU65" s="3">
        <f t="shared" si="49"/>
        <v>-0.025902771</v>
      </c>
      <c r="AV65" s="3">
        <f t="shared" si="49"/>
        <v>-0.0245480797</v>
      </c>
      <c r="AW65" s="3">
        <f t="shared" si="49"/>
        <v>-0.0339227532</v>
      </c>
      <c r="AX65" s="3">
        <f t="shared" si="49"/>
        <v>-0.0268262751</v>
      </c>
      <c r="AY65" s="3">
        <f t="shared" si="49"/>
        <v>-0.0269126983</v>
      </c>
    </row>
    <row r="66" spans="29:29">
      <c r="AC66" s="50"/>
    </row>
    <row r="67" spans="1:51">
      <c r="A67" t="s">
        <v>114</v>
      </c>
      <c r="G67" s="52">
        <f>G62-G56</f>
        <v>0</v>
      </c>
      <c r="H67" s="52">
        <f t="shared" ref="H67:Z67" si="50">H62-H56</f>
        <v>17963.7799999999</v>
      </c>
      <c r="I67" s="52">
        <f t="shared" si="50"/>
        <v>-14476.6899999999</v>
      </c>
      <c r="J67" s="52">
        <f t="shared" si="50"/>
        <v>-12157.8800000001</v>
      </c>
      <c r="K67" s="52">
        <f t="shared" si="50"/>
        <v>11976.0449999998</v>
      </c>
      <c r="L67" s="52">
        <f t="shared" si="50"/>
        <v>-12380.2999999999</v>
      </c>
      <c r="M67" s="52">
        <f t="shared" si="50"/>
        <v>-16611.9949999999</v>
      </c>
      <c r="N67" s="52">
        <f t="shared" si="50"/>
        <v>17627.8799999999</v>
      </c>
      <c r="O67" s="52">
        <f t="shared" si="50"/>
        <v>112.904999999715</v>
      </c>
      <c r="P67" s="52">
        <f t="shared" si="50"/>
        <v>34268.4450000005</v>
      </c>
      <c r="Q67" s="52">
        <f t="shared" si="50"/>
        <v>-3546.27500000056</v>
      </c>
      <c r="R67" s="52">
        <f t="shared" si="50"/>
        <v>32437.0700000007</v>
      </c>
      <c r="S67" s="52">
        <f t="shared" si="50"/>
        <v>43694.6349999998</v>
      </c>
      <c r="T67" s="52">
        <f t="shared" si="50"/>
        <v>-35679.3000000004</v>
      </c>
      <c r="U67" s="52">
        <f t="shared" si="50"/>
        <v>952.605000000563</v>
      </c>
      <c r="V67" s="52">
        <f t="shared" si="50"/>
        <v>-50625.3700000004</v>
      </c>
      <c r="W67" s="52">
        <f t="shared" si="50"/>
        <v>28265.1549999997</v>
      </c>
      <c r="X67" s="52">
        <f t="shared" si="50"/>
        <v>-40458.4299999996</v>
      </c>
      <c r="Y67" s="52">
        <f t="shared" si="50"/>
        <v>-35160.0950000004</v>
      </c>
      <c r="Z67" s="52">
        <f t="shared" si="50"/>
        <v>11998.9900000003</v>
      </c>
      <c r="AC67" s="50"/>
      <c r="AD67" s="52">
        <f>AD62-AD56</f>
        <v>11280.5320000005</v>
      </c>
      <c r="AE67" s="52">
        <f>AE62-AE56</f>
        <v>-18284.191</v>
      </c>
      <c r="AF67" s="52">
        <f t="shared" ref="AF67:AY67" si="51">AF62-AF56</f>
        <v>1424.6649999997</v>
      </c>
      <c r="AG67" s="52">
        <f t="shared" si="51"/>
        <v>31553.4019999994</v>
      </c>
      <c r="AH67" s="52">
        <f t="shared" si="51"/>
        <v>-6906.14299999944</v>
      </c>
      <c r="AI67" s="52">
        <f t="shared" si="51"/>
        <v>-8809.2740000004</v>
      </c>
      <c r="AJ67" s="52">
        <f t="shared" si="51"/>
        <v>-9897.5659999997</v>
      </c>
      <c r="AK67" s="52">
        <f t="shared" si="51"/>
        <v>10472.5750000002</v>
      </c>
      <c r="AL67" s="52">
        <f t="shared" si="51"/>
        <v>10263.3109999996</v>
      </c>
      <c r="AM67" s="52">
        <f t="shared" si="51"/>
        <v>-39657.9259999997</v>
      </c>
      <c r="AN67" s="52">
        <f t="shared" si="51"/>
        <v>11548.6970000002</v>
      </c>
      <c r="AO67" s="52">
        <f t="shared" si="51"/>
        <v>218.520999999782</v>
      </c>
      <c r="AP67" s="52">
        <f t="shared" si="51"/>
        <v>9419.24800000055</v>
      </c>
      <c r="AQ67" s="52">
        <f t="shared" si="51"/>
        <v>1156.43799999947</v>
      </c>
      <c r="AR67" s="52">
        <f t="shared" si="51"/>
        <v>-11192.3550000006</v>
      </c>
      <c r="AS67" s="52">
        <f t="shared" si="51"/>
        <v>-30707.9069999999</v>
      </c>
      <c r="AT67" s="52">
        <f t="shared" si="51"/>
        <v>-7119.39399999991</v>
      </c>
      <c r="AU67" s="52">
        <f t="shared" si="51"/>
        <v>26127.8620000009</v>
      </c>
      <c r="AV67" s="52">
        <f t="shared" si="51"/>
        <v>8306.91299999992</v>
      </c>
      <c r="AW67" s="52">
        <f t="shared" si="51"/>
        <v>-23465.2350000005</v>
      </c>
      <c r="AX67" s="52">
        <f t="shared" si="51"/>
        <v>-14787.8190000001</v>
      </c>
      <c r="AY67" s="52">
        <f t="shared" si="51"/>
        <v>26370.668</v>
      </c>
    </row>
    <row r="68" spans="1:51">
      <c r="A68" t="s">
        <v>115</v>
      </c>
      <c r="G68" s="3">
        <f>G67/$D$1</f>
        <v>0</v>
      </c>
      <c r="H68" s="3">
        <f t="shared" ref="H68:Z68" si="52">H67/$D$1</f>
        <v>0.00179637799999999</v>
      </c>
      <c r="I68" s="3">
        <f t="shared" si="52"/>
        <v>-0.00144766899999999</v>
      </c>
      <c r="J68" s="3">
        <f t="shared" si="52"/>
        <v>-0.00121578800000001</v>
      </c>
      <c r="K68" s="3">
        <f t="shared" si="52"/>
        <v>0.00119760449999998</v>
      </c>
      <c r="L68" s="3">
        <f t="shared" si="52"/>
        <v>-0.00123802999999999</v>
      </c>
      <c r="M68" s="3">
        <f t="shared" si="52"/>
        <v>-0.00166119949999999</v>
      </c>
      <c r="N68" s="3">
        <f t="shared" si="52"/>
        <v>0.00176278799999999</v>
      </c>
      <c r="O68" s="3">
        <f t="shared" si="52"/>
        <v>1.12904999999715e-5</v>
      </c>
      <c r="P68" s="3">
        <f t="shared" si="52"/>
        <v>0.00342684450000005</v>
      </c>
      <c r="Q68" s="3">
        <f t="shared" si="52"/>
        <v>-0.000354627500000056</v>
      </c>
      <c r="R68" s="3">
        <f t="shared" si="52"/>
        <v>0.00324370700000007</v>
      </c>
      <c r="S68" s="3">
        <f t="shared" si="52"/>
        <v>0.00436946349999998</v>
      </c>
      <c r="T68" s="3">
        <f t="shared" si="52"/>
        <v>-0.00356793000000004</v>
      </c>
      <c r="U68" s="3">
        <f t="shared" si="52"/>
        <v>9.52605000000563e-5</v>
      </c>
      <c r="V68" s="3">
        <f t="shared" si="52"/>
        <v>-0.00506253700000004</v>
      </c>
      <c r="W68" s="3">
        <f t="shared" si="52"/>
        <v>0.00282651549999997</v>
      </c>
      <c r="X68" s="3">
        <f t="shared" si="52"/>
        <v>-0.00404584299999996</v>
      </c>
      <c r="Y68" s="3">
        <f t="shared" si="52"/>
        <v>-0.00351600950000004</v>
      </c>
      <c r="Z68" s="3">
        <f t="shared" si="52"/>
        <v>0.00119989900000003</v>
      </c>
      <c r="AC68" s="50"/>
      <c r="AD68" s="3">
        <f>AD67/$D$1</f>
        <v>0.00112805320000005</v>
      </c>
      <c r="AE68" s="3">
        <f>AE67/$D$1</f>
        <v>-0.0018284191</v>
      </c>
      <c r="AF68" s="3">
        <f t="shared" ref="AF68:AY68" si="53">AF67/$D$1</f>
        <v>0.00014246649999997</v>
      </c>
      <c r="AG68" s="3">
        <f t="shared" si="53"/>
        <v>0.00315534019999994</v>
      </c>
      <c r="AH68" s="3">
        <f t="shared" si="53"/>
        <v>-0.000690614299999944</v>
      </c>
      <c r="AI68" s="3">
        <f t="shared" si="53"/>
        <v>-0.00088092740000004</v>
      </c>
      <c r="AJ68" s="3">
        <f t="shared" si="53"/>
        <v>-0.00098975659999997</v>
      </c>
      <c r="AK68" s="3">
        <f t="shared" si="53"/>
        <v>0.00104725750000002</v>
      </c>
      <c r="AL68" s="3">
        <f t="shared" si="53"/>
        <v>0.00102633109999996</v>
      </c>
      <c r="AM68" s="3">
        <f t="shared" si="53"/>
        <v>-0.00396579259999997</v>
      </c>
      <c r="AN68" s="3">
        <f t="shared" si="53"/>
        <v>0.00115486970000002</v>
      </c>
      <c r="AO68" s="3">
        <f t="shared" si="53"/>
        <v>2.18520999999782e-5</v>
      </c>
      <c r="AP68" s="3">
        <f t="shared" si="53"/>
        <v>0.000941924800000054</v>
      </c>
      <c r="AQ68" s="3">
        <f t="shared" si="53"/>
        <v>0.000115643799999947</v>
      </c>
      <c r="AR68" s="3">
        <f t="shared" si="53"/>
        <v>-0.00111923550000006</v>
      </c>
      <c r="AS68" s="3">
        <f t="shared" si="53"/>
        <v>-0.00307079069999999</v>
      </c>
      <c r="AT68" s="3">
        <f t="shared" si="53"/>
        <v>-0.000711939399999991</v>
      </c>
      <c r="AU68" s="3">
        <f t="shared" si="53"/>
        <v>0.00261278620000009</v>
      </c>
      <c r="AV68" s="3">
        <f t="shared" si="53"/>
        <v>0.000830691299999992</v>
      </c>
      <c r="AW68" s="3">
        <f t="shared" si="53"/>
        <v>-0.00234652350000005</v>
      </c>
      <c r="AX68" s="3">
        <f t="shared" si="53"/>
        <v>-0.00147878190000001</v>
      </c>
      <c r="AY68" s="3">
        <f t="shared" si="53"/>
        <v>0.0026370668</v>
      </c>
    </row>
    <row r="69" spans="1:51">
      <c r="A69" t="s">
        <v>116</v>
      </c>
      <c r="G69" s="52">
        <f>G67</f>
        <v>0</v>
      </c>
      <c r="H69" s="52">
        <f>G69+H67</f>
        <v>17963.7799999999</v>
      </c>
      <c r="I69" s="52">
        <f t="shared" ref="I69:Z69" si="54">H69+I67</f>
        <v>3487.08999999999</v>
      </c>
      <c r="J69" s="52">
        <f t="shared" si="54"/>
        <v>-8670.79000000008</v>
      </c>
      <c r="K69" s="52">
        <f t="shared" si="54"/>
        <v>3305.2549999997</v>
      </c>
      <c r="L69" s="52">
        <f t="shared" si="54"/>
        <v>-9075.04500000018</v>
      </c>
      <c r="M69" s="52">
        <f t="shared" si="54"/>
        <v>-25687.04</v>
      </c>
      <c r="N69" s="52">
        <f t="shared" si="54"/>
        <v>-8059.16000000011</v>
      </c>
      <c r="O69" s="52">
        <f t="shared" si="54"/>
        <v>-7946.25500000039</v>
      </c>
      <c r="P69" s="52">
        <f t="shared" si="54"/>
        <v>26322.1900000001</v>
      </c>
      <c r="Q69" s="52">
        <f t="shared" si="54"/>
        <v>22775.9149999995</v>
      </c>
      <c r="R69" s="52">
        <f t="shared" si="54"/>
        <v>55212.9850000003</v>
      </c>
      <c r="S69" s="52">
        <f t="shared" si="54"/>
        <v>98907.6200000001</v>
      </c>
      <c r="T69" s="52">
        <f t="shared" si="54"/>
        <v>63228.3199999997</v>
      </c>
      <c r="U69" s="52">
        <f t="shared" si="54"/>
        <v>64180.9250000003</v>
      </c>
      <c r="V69" s="52">
        <f t="shared" si="54"/>
        <v>13555.5549999999</v>
      </c>
      <c r="W69" s="52">
        <f t="shared" si="54"/>
        <v>41820.7099999996</v>
      </c>
      <c r="X69" s="52">
        <f t="shared" si="54"/>
        <v>1362.27999999996</v>
      </c>
      <c r="Y69" s="52">
        <f t="shared" si="54"/>
        <v>-33797.8150000004</v>
      </c>
      <c r="Z69" s="52">
        <f t="shared" si="54"/>
        <v>-21798.8250000002</v>
      </c>
      <c r="AC69" s="50"/>
      <c r="AD69" s="52">
        <f>AD67+Z69</f>
        <v>-10518.2929999997</v>
      </c>
      <c r="AE69" s="52">
        <f>AD69+AE67</f>
        <v>-28802.4839999997</v>
      </c>
      <c r="AF69" s="52">
        <f t="shared" ref="AF69:AY69" si="55">AE69+AF67</f>
        <v>-27377.819</v>
      </c>
      <c r="AG69" s="52">
        <f t="shared" si="55"/>
        <v>4175.58299999937</v>
      </c>
      <c r="AH69" s="52">
        <f t="shared" si="55"/>
        <v>-2730.56000000007</v>
      </c>
      <c r="AI69" s="52">
        <f t="shared" si="55"/>
        <v>-11539.8340000005</v>
      </c>
      <c r="AJ69" s="52">
        <f t="shared" si="55"/>
        <v>-21437.4000000002</v>
      </c>
      <c r="AK69" s="52">
        <f t="shared" si="55"/>
        <v>-10964.8249999999</v>
      </c>
      <c r="AL69" s="52">
        <f t="shared" si="55"/>
        <v>-701.514000000341</v>
      </c>
      <c r="AM69" s="52">
        <f t="shared" si="55"/>
        <v>-40359.4400000001</v>
      </c>
      <c r="AN69" s="52">
        <f t="shared" si="55"/>
        <v>-28810.7429999999</v>
      </c>
      <c r="AO69" s="52">
        <f t="shared" si="55"/>
        <v>-28592.2220000001</v>
      </c>
      <c r="AP69" s="52">
        <f t="shared" si="55"/>
        <v>-19172.9739999996</v>
      </c>
      <c r="AQ69" s="52">
        <f t="shared" si="55"/>
        <v>-18016.5360000001</v>
      </c>
      <c r="AR69" s="52">
        <f t="shared" si="55"/>
        <v>-29208.8910000007</v>
      </c>
      <c r="AS69" s="52">
        <f t="shared" si="55"/>
        <v>-59916.7980000006</v>
      </c>
      <c r="AT69" s="52">
        <f t="shared" si="55"/>
        <v>-67036.1920000005</v>
      </c>
      <c r="AU69" s="52">
        <f t="shared" si="55"/>
        <v>-40908.3299999996</v>
      </c>
      <c r="AV69" s="52">
        <f t="shared" si="55"/>
        <v>-32601.4169999997</v>
      </c>
      <c r="AW69" s="52">
        <f t="shared" si="55"/>
        <v>-56066.6520000002</v>
      </c>
      <c r="AX69" s="52">
        <f t="shared" si="55"/>
        <v>-70854.4710000002</v>
      </c>
      <c r="AY69" s="52">
        <f t="shared" si="55"/>
        <v>-44483.8030000002</v>
      </c>
    </row>
    <row r="70" spans="1:51">
      <c r="A70" t="s">
        <v>117</v>
      </c>
      <c r="G70" s="3">
        <f>G69/$D$1</f>
        <v>0</v>
      </c>
      <c r="H70" s="3">
        <f t="shared" ref="H70:Z70" si="56">H69/$D$1</f>
        <v>0.00179637799999999</v>
      </c>
      <c r="I70" s="3">
        <f t="shared" si="56"/>
        <v>0.000348708999999999</v>
      </c>
      <c r="J70" s="3">
        <f t="shared" si="56"/>
        <v>-0.000867079000000008</v>
      </c>
      <c r="K70" s="3">
        <f t="shared" si="56"/>
        <v>0.00033052549999997</v>
      </c>
      <c r="L70" s="3">
        <f t="shared" si="56"/>
        <v>-0.000907504500000018</v>
      </c>
      <c r="M70" s="3">
        <f t="shared" si="56"/>
        <v>-0.002568704</v>
      </c>
      <c r="N70" s="3">
        <f t="shared" si="56"/>
        <v>-0.000805916000000011</v>
      </c>
      <c r="O70" s="3">
        <f t="shared" si="56"/>
        <v>-0.000794625500000039</v>
      </c>
      <c r="P70" s="3">
        <f t="shared" si="56"/>
        <v>0.00263221900000001</v>
      </c>
      <c r="Q70" s="3">
        <f t="shared" si="56"/>
        <v>0.00227759149999995</v>
      </c>
      <c r="R70" s="3">
        <f t="shared" si="56"/>
        <v>0.00552129850000003</v>
      </c>
      <c r="S70" s="3">
        <f t="shared" si="56"/>
        <v>0.00989076200000001</v>
      </c>
      <c r="T70" s="3">
        <f t="shared" si="56"/>
        <v>0.00632283199999997</v>
      </c>
      <c r="U70" s="3">
        <f t="shared" si="56"/>
        <v>0.00641809250000003</v>
      </c>
      <c r="V70" s="3">
        <f t="shared" si="56"/>
        <v>0.00135555549999999</v>
      </c>
      <c r="W70" s="3">
        <f t="shared" si="56"/>
        <v>0.00418207099999996</v>
      </c>
      <c r="X70" s="3">
        <f t="shared" si="56"/>
        <v>0.000136227999999996</v>
      </c>
      <c r="Y70" s="3">
        <f t="shared" si="56"/>
        <v>-0.00337978150000004</v>
      </c>
      <c r="Z70" s="3">
        <f t="shared" si="56"/>
        <v>-0.00217988250000002</v>
      </c>
      <c r="AC70" s="50"/>
      <c r="AD70" s="3">
        <f>AD69/$D$1</f>
        <v>-0.00105182929999997</v>
      </c>
      <c r="AE70" s="3">
        <f>AE69/$D$1</f>
        <v>-0.00288024839999997</v>
      </c>
      <c r="AF70" s="3">
        <f t="shared" ref="AF70:AY70" si="57">AF69/$D$1</f>
        <v>-0.0027377819</v>
      </c>
      <c r="AG70" s="3">
        <f t="shared" si="57"/>
        <v>0.000417558299999937</v>
      </c>
      <c r="AH70" s="3">
        <f t="shared" si="57"/>
        <v>-0.000273056000000007</v>
      </c>
      <c r="AI70" s="3">
        <f t="shared" si="57"/>
        <v>-0.00115398340000005</v>
      </c>
      <c r="AJ70" s="3">
        <f t="shared" si="57"/>
        <v>-0.00214374000000002</v>
      </c>
      <c r="AK70" s="3">
        <f t="shared" si="57"/>
        <v>-0.00109648249999999</v>
      </c>
      <c r="AL70" s="3">
        <f t="shared" si="57"/>
        <v>-7.01514000000341e-5</v>
      </c>
      <c r="AM70" s="3">
        <f t="shared" si="57"/>
        <v>-0.00403594400000001</v>
      </c>
      <c r="AN70" s="3">
        <f t="shared" si="57"/>
        <v>-0.00288107429999999</v>
      </c>
      <c r="AO70" s="3">
        <f t="shared" si="57"/>
        <v>-0.00285922220000001</v>
      </c>
      <c r="AP70" s="3">
        <f t="shared" si="57"/>
        <v>-0.00191729739999996</v>
      </c>
      <c r="AQ70" s="3">
        <f t="shared" si="57"/>
        <v>-0.00180165360000001</v>
      </c>
      <c r="AR70" s="3">
        <f t="shared" si="57"/>
        <v>-0.00292088910000007</v>
      </c>
      <c r="AS70" s="3">
        <f t="shared" si="57"/>
        <v>-0.00599167980000006</v>
      </c>
      <c r="AT70" s="3">
        <f t="shared" si="57"/>
        <v>-0.00670361920000005</v>
      </c>
      <c r="AU70" s="3">
        <f t="shared" si="57"/>
        <v>-0.00409083299999996</v>
      </c>
      <c r="AV70" s="3">
        <f t="shared" si="57"/>
        <v>-0.00326014169999997</v>
      </c>
      <c r="AW70" s="3">
        <f t="shared" si="57"/>
        <v>-0.00560666520000002</v>
      </c>
      <c r="AX70" s="3">
        <f t="shared" si="57"/>
        <v>-0.00708544710000002</v>
      </c>
      <c r="AY70" s="3">
        <f t="shared" si="57"/>
        <v>-0.00444838030000002</v>
      </c>
    </row>
  </sheetData>
  <mergeCells count="2">
    <mergeCell ref="F1:G2"/>
    <mergeCell ref="AA1:AC2"/>
  </mergeCells>
  <conditionalFormatting sqref="C5:C4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{339b91e7-f8ca-4125-bbc0-015bba153a58}</x14:id>
        </ext>
      </extLst>
    </cfRule>
  </conditionalFormatting>
  <conditionalFormatting sqref="D5:D4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{3a6f39d6-aca1-4758-ba44-c7e808598bda}</x14:id>
        </ext>
      </extLst>
    </cfRule>
  </conditionalFormatting>
  <conditionalFormatting sqref="AA5:AA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{4f2e2cf8-6697-4017-9bb9-cb9dba330979}</x14:id>
        </ext>
      </extLst>
    </cfRule>
  </conditionalFormatting>
  <pageMargins left="0.75" right="0.75" top="1" bottom="1" header="0.5" footer="0.5"/>
  <pageSetup paperSize="9" orientation="portrait"/>
  <headerFooter/>
  <ignoredErrors>
    <ignoredError sqref="H50:T5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b91e7-f8ca-4125-bbc0-015bba153a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C5:C44</xm:sqref>
        </x14:conditionalFormatting>
        <x14:conditionalFormatting xmlns:xm="http://schemas.microsoft.com/office/excel/2006/main">
          <x14:cfRule type="dataBar" id="{3a6f39d6-aca1-4758-ba44-c7e808598b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D5:D44</xm:sqref>
        </x14:conditionalFormatting>
        <x14:conditionalFormatting xmlns:xm="http://schemas.microsoft.com/office/excel/2006/main">
          <x14:cfRule type="dataBar" id="{4f2e2cf8-6697-4017-9bb9-cb9dba3309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AA5:AA44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70"/>
  <sheetViews>
    <sheetView zoomScale="90" zoomScaleNormal="90" topLeftCell="R38" workbookViewId="0">
      <selection activeCell="AD65" sqref="AD65:AY65"/>
    </sheetView>
  </sheetViews>
  <sheetFormatPr defaultColWidth="11" defaultRowHeight="17.6"/>
  <cols>
    <col min="1" max="1" width="26.1666666666667" customWidth="1"/>
    <col min="2" max="2" width="10.1666666666667" customWidth="1"/>
    <col min="3" max="3" width="15.1666666666667" customWidth="1"/>
    <col min="4" max="4" width="18" customWidth="1"/>
    <col min="5" max="5" width="19.6666666666667" customWidth="1"/>
    <col min="6" max="6" width="8.66666666666667" style="25" customWidth="1"/>
    <col min="7" max="23" width="13.1666666666667" customWidth="1"/>
    <col min="24" max="26" width="13.5" customWidth="1"/>
    <col min="27" max="27" width="13.3333333333333" customWidth="1"/>
    <col min="28" max="28" width="16.8333333333333" customWidth="1"/>
    <col min="29" max="29" width="8.66666666666667" customWidth="1"/>
    <col min="30" max="30" width="13.5" customWidth="1"/>
    <col min="31" max="31" width="15.5" customWidth="1"/>
    <col min="32" max="33" width="19.8333333333333" customWidth="1"/>
    <col min="34" max="37" width="15.6666666666667" customWidth="1"/>
    <col min="38" max="51" width="14.8333333333333" customWidth="1"/>
  </cols>
  <sheetData>
    <row r="1" spans="1:29">
      <c r="A1" s="15" t="s">
        <v>0</v>
      </c>
      <c r="B1" s="15" t="s">
        <v>1</v>
      </c>
      <c r="C1" s="15" t="s">
        <v>2</v>
      </c>
      <c r="D1" s="26">
        <v>10000000</v>
      </c>
      <c r="F1" s="37" t="s">
        <v>3</v>
      </c>
      <c r="G1" s="38"/>
      <c r="AA1" s="81" t="s">
        <v>4</v>
      </c>
      <c r="AB1" s="82"/>
      <c r="AC1" s="90"/>
    </row>
    <row r="2" ht="18.35" spans="1:29">
      <c r="A2" s="15" t="s">
        <v>5</v>
      </c>
      <c r="B2" s="15" t="s">
        <v>6</v>
      </c>
      <c r="C2" s="15"/>
      <c r="F2" s="39"/>
      <c r="G2" s="40"/>
      <c r="AA2" s="83"/>
      <c r="AB2" s="84"/>
      <c r="AC2" s="91"/>
    </row>
    <row r="3" s="20" customFormat="1" ht="41.75" spans="1:51">
      <c r="A3" s="27" t="s">
        <v>7</v>
      </c>
      <c r="B3" s="28" t="s">
        <v>8</v>
      </c>
      <c r="C3" s="7" t="s">
        <v>9</v>
      </c>
      <c r="D3" s="7" t="s">
        <v>10</v>
      </c>
      <c r="E3" s="41" t="s">
        <v>11</v>
      </c>
      <c r="F3" s="42" t="s">
        <v>12</v>
      </c>
      <c r="G3" s="43" t="s">
        <v>13</v>
      </c>
      <c r="H3" s="44" t="s">
        <v>13</v>
      </c>
      <c r="I3" s="44" t="s">
        <v>13</v>
      </c>
      <c r="J3" s="44" t="s">
        <v>13</v>
      </c>
      <c r="K3" s="44" t="s">
        <v>13</v>
      </c>
      <c r="L3" s="44" t="s">
        <v>13</v>
      </c>
      <c r="M3" s="44" t="s">
        <v>13</v>
      </c>
      <c r="N3" s="44" t="s">
        <v>13</v>
      </c>
      <c r="O3" s="44" t="s">
        <v>13</v>
      </c>
      <c r="P3" s="44" t="s">
        <v>13</v>
      </c>
      <c r="Q3" s="44" t="s">
        <v>13</v>
      </c>
      <c r="R3" s="44" t="s">
        <v>13</v>
      </c>
      <c r="S3" s="44" t="s">
        <v>13</v>
      </c>
      <c r="T3" s="44" t="s">
        <v>13</v>
      </c>
      <c r="U3" s="44" t="s">
        <v>13</v>
      </c>
      <c r="V3" s="44" t="s">
        <v>13</v>
      </c>
      <c r="W3" s="44" t="s">
        <v>13</v>
      </c>
      <c r="X3" s="44" t="s">
        <v>13</v>
      </c>
      <c r="Y3" s="44" t="s">
        <v>13</v>
      </c>
      <c r="Z3" s="85" t="s">
        <v>13</v>
      </c>
      <c r="AA3" s="86" t="s">
        <v>10</v>
      </c>
      <c r="AB3" s="87" t="s">
        <v>11</v>
      </c>
      <c r="AC3" s="92" t="s">
        <v>12</v>
      </c>
      <c r="AD3" s="44" t="s">
        <v>13</v>
      </c>
      <c r="AE3" s="44" t="s">
        <v>13</v>
      </c>
      <c r="AF3" s="44" t="s">
        <v>13</v>
      </c>
      <c r="AG3" s="44" t="s">
        <v>13</v>
      </c>
      <c r="AH3" s="44" t="s">
        <v>13</v>
      </c>
      <c r="AI3" s="44" t="s">
        <v>13</v>
      </c>
      <c r="AJ3" s="44" t="s">
        <v>13</v>
      </c>
      <c r="AK3" s="44" t="s">
        <v>13</v>
      </c>
      <c r="AL3" s="44" t="s">
        <v>13</v>
      </c>
      <c r="AM3" s="44" t="s">
        <v>13</v>
      </c>
      <c r="AN3" s="44" t="s">
        <v>13</v>
      </c>
      <c r="AO3" s="44" t="s">
        <v>13</v>
      </c>
      <c r="AP3" s="44" t="s">
        <v>13</v>
      </c>
      <c r="AQ3" s="44" t="s">
        <v>13</v>
      </c>
      <c r="AR3" s="44" t="s">
        <v>13</v>
      </c>
      <c r="AS3" s="44" t="s">
        <v>13</v>
      </c>
      <c r="AT3" s="44" t="s">
        <v>13</v>
      </c>
      <c r="AU3" s="44" t="s">
        <v>13</v>
      </c>
      <c r="AV3" s="44" t="s">
        <v>13</v>
      </c>
      <c r="AW3" s="44" t="s">
        <v>13</v>
      </c>
      <c r="AX3" s="44" t="s">
        <v>13</v>
      </c>
      <c r="AY3" s="44" t="s">
        <v>13</v>
      </c>
    </row>
    <row r="4" s="20" customFormat="1" ht="41.75" spans="1:51">
      <c r="A4" s="29" t="s">
        <v>14</v>
      </c>
      <c r="B4" s="29"/>
      <c r="C4" s="10" t="s">
        <v>15</v>
      </c>
      <c r="D4" s="10" t="s">
        <v>16</v>
      </c>
      <c r="E4" s="45"/>
      <c r="F4" s="46"/>
      <c r="G4" s="47">
        <v>45847</v>
      </c>
      <c r="H4" s="48">
        <v>45848</v>
      </c>
      <c r="I4" s="73">
        <v>45849</v>
      </c>
      <c r="J4" s="73">
        <v>45852</v>
      </c>
      <c r="K4" s="73">
        <v>45853</v>
      </c>
      <c r="L4" s="73">
        <v>45854</v>
      </c>
      <c r="M4" s="73">
        <v>45855</v>
      </c>
      <c r="N4" s="73">
        <v>45856</v>
      </c>
      <c r="O4" s="73">
        <v>45859</v>
      </c>
      <c r="P4" s="73">
        <v>45860</v>
      </c>
      <c r="Q4" s="73">
        <v>45861</v>
      </c>
      <c r="R4" s="73">
        <v>45862</v>
      </c>
      <c r="S4" s="73">
        <v>45863</v>
      </c>
      <c r="T4" s="73">
        <v>45866</v>
      </c>
      <c r="U4" s="73">
        <v>45867</v>
      </c>
      <c r="V4" s="73">
        <v>45868</v>
      </c>
      <c r="W4" s="73">
        <v>45869</v>
      </c>
      <c r="X4" s="73">
        <v>45870</v>
      </c>
      <c r="Y4" s="73">
        <v>45873</v>
      </c>
      <c r="Z4" s="73">
        <v>45874</v>
      </c>
      <c r="AA4" s="88" t="s">
        <v>17</v>
      </c>
      <c r="AB4" s="89"/>
      <c r="AC4" s="93"/>
      <c r="AD4" s="73">
        <v>45875</v>
      </c>
      <c r="AE4" s="73">
        <v>45876</v>
      </c>
      <c r="AF4" s="73">
        <v>45877</v>
      </c>
      <c r="AG4" s="73">
        <v>45880</v>
      </c>
      <c r="AH4" s="73">
        <v>45881</v>
      </c>
      <c r="AI4" s="73">
        <v>45882</v>
      </c>
      <c r="AJ4" s="73">
        <v>45883</v>
      </c>
      <c r="AK4" s="73">
        <v>45884</v>
      </c>
      <c r="AL4" s="73">
        <v>45887</v>
      </c>
      <c r="AM4" s="73">
        <v>45888</v>
      </c>
      <c r="AN4" s="73">
        <v>45889</v>
      </c>
      <c r="AO4" s="73">
        <v>45890</v>
      </c>
      <c r="AP4" s="73">
        <v>45891</v>
      </c>
      <c r="AQ4" s="73">
        <v>45894</v>
      </c>
      <c r="AR4" s="73">
        <v>45895</v>
      </c>
      <c r="AS4" s="73">
        <v>45896</v>
      </c>
      <c r="AT4" s="73">
        <v>45897</v>
      </c>
      <c r="AU4" s="73">
        <v>45898</v>
      </c>
      <c r="AV4" s="73">
        <v>45901</v>
      </c>
      <c r="AW4" s="73">
        <v>45902</v>
      </c>
      <c r="AX4" s="73">
        <v>45903</v>
      </c>
      <c r="AY4" s="73">
        <v>45904</v>
      </c>
    </row>
    <row r="5" spans="1:51">
      <c r="A5" s="14" t="s">
        <v>18</v>
      </c>
      <c r="B5" s="15" t="s">
        <v>19</v>
      </c>
      <c r="C5" s="16">
        <v>0.0952</v>
      </c>
      <c r="D5" s="13">
        <v>0.0178424686300529</v>
      </c>
      <c r="E5" s="49">
        <f>D5*$D$1</f>
        <v>178424.686300529</v>
      </c>
      <c r="F5" s="50">
        <f t="shared" ref="F5:F44" si="0">ROUNDDOWN(E5/G5,0)</f>
        <v>365</v>
      </c>
      <c r="G5" s="51">
        <v>487.85</v>
      </c>
      <c r="H5" s="52">
        <v>505</v>
      </c>
      <c r="I5" s="52">
        <v>487.7</v>
      </c>
      <c r="J5" s="52">
        <v>479.55</v>
      </c>
      <c r="K5" s="52">
        <v>477.35</v>
      </c>
      <c r="L5" s="52">
        <v>475.6</v>
      </c>
      <c r="M5" s="52">
        <v>476.85</v>
      </c>
      <c r="N5" s="52">
        <v>472.75</v>
      </c>
      <c r="O5" s="77">
        <v>468.8</v>
      </c>
      <c r="P5" s="77">
        <v>465.55</v>
      </c>
      <c r="Q5" s="77">
        <v>479.95</v>
      </c>
      <c r="R5" s="77">
        <v>470.25</v>
      </c>
      <c r="S5" s="77">
        <v>488.7</v>
      </c>
      <c r="T5" s="77">
        <v>489.2</v>
      </c>
      <c r="U5" s="77">
        <v>474.8</v>
      </c>
      <c r="V5" s="77">
        <v>480.75</v>
      </c>
      <c r="W5" s="77">
        <v>472.35</v>
      </c>
      <c r="X5" s="77">
        <v>461.65</v>
      </c>
      <c r="Y5" s="77">
        <v>462.3</v>
      </c>
      <c r="Z5" s="77">
        <v>456.5</v>
      </c>
      <c r="AA5" s="13">
        <v>0.0384210253156405</v>
      </c>
      <c r="AB5" s="49">
        <f>AA5*$D$1</f>
        <v>384210.253156405</v>
      </c>
      <c r="AC5" s="50">
        <f t="shared" ref="AC5:AC44" si="1">ROUNDDOWN(AB5/AE5,0)</f>
        <v>833</v>
      </c>
      <c r="AD5" s="77">
        <v>457.7</v>
      </c>
      <c r="AE5" s="77">
        <v>461.1</v>
      </c>
      <c r="AF5" s="77">
        <v>461.35</v>
      </c>
      <c r="AG5" s="77">
        <v>458</v>
      </c>
      <c r="AH5" s="77">
        <v>457.15</v>
      </c>
      <c r="AI5" s="77">
        <v>469.6</v>
      </c>
      <c r="AJ5" s="77">
        <v>472.9</v>
      </c>
      <c r="AK5" s="77">
        <v>476.1</v>
      </c>
      <c r="AL5" s="77">
        <v>475.85</v>
      </c>
      <c r="AM5" s="77">
        <v>489.9</v>
      </c>
      <c r="AN5" s="77">
        <v>493.55</v>
      </c>
      <c r="AO5" s="77">
        <v>485</v>
      </c>
      <c r="AP5" s="77">
        <v>495.1</v>
      </c>
      <c r="AQ5" s="77">
        <v>488.05</v>
      </c>
      <c r="AR5" s="77">
        <v>486.25</v>
      </c>
      <c r="AS5" s="77">
        <v>502</v>
      </c>
      <c r="AT5" s="77">
        <v>513.1</v>
      </c>
      <c r="AU5" s="77">
        <v>504.1</v>
      </c>
      <c r="AV5" s="77">
        <v>503.7</v>
      </c>
      <c r="AW5" s="77">
        <v>513</v>
      </c>
      <c r="AX5" s="77">
        <v>520.8</v>
      </c>
      <c r="AY5" s="77">
        <v>499.1</v>
      </c>
    </row>
    <row r="6" spans="1:51">
      <c r="A6" s="14" t="s">
        <v>20</v>
      </c>
      <c r="B6" s="15" t="s">
        <v>21</v>
      </c>
      <c r="C6" s="16">
        <v>0.0831</v>
      </c>
      <c r="D6" s="16">
        <v>0.0203378278266254</v>
      </c>
      <c r="E6" s="49">
        <f t="shared" ref="E6:E44" si="2">D6*$D$1</f>
        <v>203378.278266254</v>
      </c>
      <c r="F6" s="50">
        <f t="shared" si="0"/>
        <v>893</v>
      </c>
      <c r="G6" s="51">
        <v>227.7</v>
      </c>
      <c r="H6" s="52">
        <v>225.45</v>
      </c>
      <c r="I6" s="52">
        <v>225.2</v>
      </c>
      <c r="J6" s="52">
        <v>223.65</v>
      </c>
      <c r="K6" s="52">
        <v>225.85</v>
      </c>
      <c r="L6" s="52">
        <v>222.55</v>
      </c>
      <c r="M6" s="52">
        <v>239.75</v>
      </c>
      <c r="N6" s="52">
        <v>237.15</v>
      </c>
      <c r="O6" s="77">
        <v>235.75</v>
      </c>
      <c r="P6" s="77">
        <v>231.8</v>
      </c>
      <c r="Q6" s="77">
        <v>236.15</v>
      </c>
      <c r="R6" s="77">
        <v>238.9</v>
      </c>
      <c r="S6" s="77">
        <v>236.25</v>
      </c>
      <c r="T6" s="77">
        <v>236.1</v>
      </c>
      <c r="U6" s="77">
        <v>238.25</v>
      </c>
      <c r="V6" s="77">
        <v>239.2</v>
      </c>
      <c r="W6" s="77">
        <v>228.25</v>
      </c>
      <c r="X6" s="77">
        <v>213.9</v>
      </c>
      <c r="Y6" s="77">
        <v>219.3</v>
      </c>
      <c r="Z6" s="77">
        <v>214.8</v>
      </c>
      <c r="AA6" s="16">
        <v>0.0221523452135553</v>
      </c>
      <c r="AB6" s="49">
        <f t="shared" ref="AB6:AB44" si="3">AA6*$D$1</f>
        <v>221523.452135553</v>
      </c>
      <c r="AC6" s="50">
        <f t="shared" si="1"/>
        <v>1005</v>
      </c>
      <c r="AD6" s="77">
        <v>214.85</v>
      </c>
      <c r="AE6" s="77">
        <v>220.3</v>
      </c>
      <c r="AF6" s="77">
        <v>222</v>
      </c>
      <c r="AG6" s="77">
        <v>218.65</v>
      </c>
      <c r="AH6" s="77">
        <v>222.2</v>
      </c>
      <c r="AI6" s="77">
        <v>218</v>
      </c>
      <c r="AJ6" s="77">
        <v>222</v>
      </c>
      <c r="AK6" s="77">
        <v>220.6</v>
      </c>
      <c r="AL6" s="77">
        <v>218.5</v>
      </c>
      <c r="AM6" s="77">
        <v>223.25</v>
      </c>
      <c r="AN6" s="77">
        <v>215.55</v>
      </c>
      <c r="AO6" s="77">
        <v>215</v>
      </c>
      <c r="AP6" s="77">
        <v>215.4</v>
      </c>
      <c r="AQ6" s="77">
        <v>213.25</v>
      </c>
      <c r="AR6" s="77">
        <v>210.8</v>
      </c>
      <c r="AS6" s="77">
        <v>211.45</v>
      </c>
      <c r="AT6" s="77">
        <v>213.7</v>
      </c>
      <c r="AU6" s="77">
        <v>210.05</v>
      </c>
      <c r="AV6" s="77">
        <v>210.25</v>
      </c>
      <c r="AW6" s="77">
        <v>211.1</v>
      </c>
      <c r="AX6" s="77">
        <v>217.25</v>
      </c>
      <c r="AY6" s="77">
        <v>217.25</v>
      </c>
    </row>
    <row r="7" spans="1:51">
      <c r="A7" s="14" t="s">
        <v>22</v>
      </c>
      <c r="B7" s="15" t="s">
        <v>23</v>
      </c>
      <c r="C7" s="16">
        <v>0.0728</v>
      </c>
      <c r="D7" s="16">
        <v>0.0295976547608943</v>
      </c>
      <c r="E7" s="49">
        <f t="shared" si="2"/>
        <v>295976.547608943</v>
      </c>
      <c r="F7" s="50">
        <f t="shared" si="0"/>
        <v>5555</v>
      </c>
      <c r="G7" s="51">
        <v>53.28</v>
      </c>
      <c r="H7" s="52">
        <v>53.5</v>
      </c>
      <c r="I7" s="52">
        <v>53.87</v>
      </c>
      <c r="J7" s="52">
        <v>53.34</v>
      </c>
      <c r="K7" s="52">
        <v>53.48</v>
      </c>
      <c r="L7" s="52">
        <v>53.09</v>
      </c>
      <c r="M7" s="52">
        <v>52.97</v>
      </c>
      <c r="N7" s="52">
        <v>53.15</v>
      </c>
      <c r="O7" s="77">
        <v>52.86</v>
      </c>
      <c r="P7" s="77">
        <v>52.8</v>
      </c>
      <c r="Q7" s="77">
        <v>53.34</v>
      </c>
      <c r="R7" s="77">
        <v>51.46</v>
      </c>
      <c r="S7" s="77">
        <v>51.33</v>
      </c>
      <c r="T7" s="77">
        <v>52.4</v>
      </c>
      <c r="U7" s="77">
        <v>52.53</v>
      </c>
      <c r="V7" s="77">
        <v>52.29</v>
      </c>
      <c r="W7" s="77">
        <v>52.02</v>
      </c>
      <c r="X7" s="77">
        <v>51.07</v>
      </c>
      <c r="Y7" s="77">
        <v>51.58</v>
      </c>
      <c r="Z7" s="77">
        <v>51.9</v>
      </c>
      <c r="AA7" s="16">
        <v>0.0295976547608943</v>
      </c>
      <c r="AB7" s="49">
        <f t="shared" si="3"/>
        <v>295976.547608943</v>
      </c>
      <c r="AC7" s="50">
        <f t="shared" si="1"/>
        <v>5650</v>
      </c>
      <c r="AD7" s="77">
        <v>52.5</v>
      </c>
      <c r="AE7" s="77">
        <v>52.38</v>
      </c>
      <c r="AF7" s="77">
        <v>52.71</v>
      </c>
      <c r="AG7" s="77">
        <v>52.52</v>
      </c>
      <c r="AH7" s="77">
        <v>53.17</v>
      </c>
      <c r="AI7" s="77">
        <v>52.51</v>
      </c>
      <c r="AJ7" s="77">
        <v>52.57</v>
      </c>
      <c r="AK7" s="77">
        <v>53.47</v>
      </c>
      <c r="AL7" s="77">
        <v>53.02</v>
      </c>
      <c r="AM7" s="77">
        <v>53.7</v>
      </c>
      <c r="AN7" s="77">
        <v>54.01</v>
      </c>
      <c r="AO7" s="77">
        <v>54.29</v>
      </c>
      <c r="AP7" s="77">
        <v>54.63</v>
      </c>
      <c r="AQ7" s="77">
        <v>54.1</v>
      </c>
      <c r="AR7" s="77">
        <v>52.91</v>
      </c>
      <c r="AS7" s="77">
        <v>53.21</v>
      </c>
      <c r="AT7" s="77">
        <v>53.1</v>
      </c>
      <c r="AU7" s="77">
        <v>53.5</v>
      </c>
      <c r="AV7" s="77">
        <v>53.45</v>
      </c>
      <c r="AW7" s="77">
        <v>53.53</v>
      </c>
      <c r="AX7" s="77">
        <v>52.78</v>
      </c>
      <c r="AY7" s="77">
        <v>52.76</v>
      </c>
    </row>
    <row r="8" spans="1:51">
      <c r="A8" s="14" t="s">
        <v>24</v>
      </c>
      <c r="B8" s="15" t="s">
        <v>25</v>
      </c>
      <c r="C8" s="16">
        <v>0.0641</v>
      </c>
      <c r="D8" s="16">
        <v>0.0408060843453868</v>
      </c>
      <c r="E8" s="49">
        <f t="shared" si="2"/>
        <v>408060.843453868</v>
      </c>
      <c r="F8" s="50">
        <f t="shared" si="0"/>
        <v>4897</v>
      </c>
      <c r="G8" s="51">
        <v>83.32</v>
      </c>
      <c r="H8" s="52">
        <v>84.16</v>
      </c>
      <c r="I8" s="52">
        <v>83.03</v>
      </c>
      <c r="J8" s="52">
        <v>83.54</v>
      </c>
      <c r="K8" s="52">
        <v>82.7</v>
      </c>
      <c r="L8" s="52">
        <v>83.2</v>
      </c>
      <c r="M8" s="52">
        <v>83.54</v>
      </c>
      <c r="N8" s="52">
        <v>83.12</v>
      </c>
      <c r="O8" s="77">
        <v>82.3</v>
      </c>
      <c r="P8" s="77">
        <v>82.55</v>
      </c>
      <c r="Q8" s="77">
        <v>84.65</v>
      </c>
      <c r="R8" s="77">
        <v>85.22</v>
      </c>
      <c r="S8" s="77">
        <v>85.11</v>
      </c>
      <c r="T8" s="77">
        <v>85.5</v>
      </c>
      <c r="U8" s="77">
        <v>85.85</v>
      </c>
      <c r="V8" s="77">
        <v>85.52</v>
      </c>
      <c r="W8" s="77">
        <v>78.84</v>
      </c>
      <c r="X8" s="77">
        <v>80.34</v>
      </c>
      <c r="Y8" s="77">
        <v>82</v>
      </c>
      <c r="Z8" s="77">
        <v>82.03</v>
      </c>
      <c r="AA8" s="16">
        <v>0.0398535126151814</v>
      </c>
      <c r="AB8" s="49">
        <f t="shared" si="3"/>
        <v>398535.126151814</v>
      </c>
      <c r="AC8" s="50">
        <f t="shared" si="1"/>
        <v>4929</v>
      </c>
      <c r="AD8" s="77">
        <v>79.67</v>
      </c>
      <c r="AE8" s="77">
        <v>80.84</v>
      </c>
      <c r="AF8" s="77">
        <v>80.93</v>
      </c>
      <c r="AG8" s="77">
        <v>81.34</v>
      </c>
      <c r="AH8" s="77">
        <v>81.65</v>
      </c>
      <c r="AI8" s="77">
        <v>83.18</v>
      </c>
      <c r="AJ8" s="77">
        <v>83.54</v>
      </c>
      <c r="AK8" s="77">
        <v>84.95</v>
      </c>
      <c r="AL8" s="77">
        <v>85.58</v>
      </c>
      <c r="AM8" s="77">
        <v>86.49</v>
      </c>
      <c r="AN8" s="77">
        <v>87.03</v>
      </c>
      <c r="AO8" s="77">
        <v>87.47</v>
      </c>
      <c r="AP8" s="77">
        <v>87.34</v>
      </c>
      <c r="AQ8" s="77">
        <v>86.26</v>
      </c>
      <c r="AR8" s="77">
        <v>86.28</v>
      </c>
      <c r="AS8" s="77">
        <v>86.54</v>
      </c>
      <c r="AT8" s="77">
        <v>85.36</v>
      </c>
      <c r="AU8" s="77">
        <v>84.49</v>
      </c>
      <c r="AV8" s="77">
        <v>84.69</v>
      </c>
      <c r="AW8" s="77">
        <v>84.51</v>
      </c>
      <c r="AX8" s="77">
        <v>86.12</v>
      </c>
      <c r="AY8" s="77">
        <v>78.96</v>
      </c>
    </row>
    <row r="9" spans="1:51">
      <c r="A9" s="14" t="s">
        <v>26</v>
      </c>
      <c r="B9" s="15" t="s">
        <v>27</v>
      </c>
      <c r="C9" s="16">
        <v>0.0551</v>
      </c>
      <c r="D9" s="16">
        <v>0.0221097422874359</v>
      </c>
      <c r="E9" s="49">
        <f t="shared" si="2"/>
        <v>221097.422874359</v>
      </c>
      <c r="F9" s="50">
        <f t="shared" si="0"/>
        <v>1212</v>
      </c>
      <c r="G9" s="51">
        <v>182.36</v>
      </c>
      <c r="H9" s="52">
        <v>183.3</v>
      </c>
      <c r="I9" s="52">
        <v>183.22</v>
      </c>
      <c r="J9" s="52">
        <v>183</v>
      </c>
      <c r="K9" s="52">
        <v>180.14</v>
      </c>
      <c r="L9" s="52">
        <v>181</v>
      </c>
      <c r="M9" s="52">
        <v>185.28</v>
      </c>
      <c r="N9" s="52">
        <v>186.22</v>
      </c>
      <c r="O9" s="77">
        <v>186.02</v>
      </c>
      <c r="P9" s="77">
        <v>181.32</v>
      </c>
      <c r="Q9" s="77">
        <v>183.38</v>
      </c>
      <c r="R9" s="77">
        <v>182.6</v>
      </c>
      <c r="S9" s="77">
        <v>180.2</v>
      </c>
      <c r="T9" s="77">
        <v>177.64</v>
      </c>
      <c r="U9" s="77">
        <v>179.44</v>
      </c>
      <c r="V9" s="77">
        <v>178.86</v>
      </c>
      <c r="W9" s="77">
        <v>176.04</v>
      </c>
      <c r="X9" s="77">
        <v>169.1</v>
      </c>
      <c r="Y9" s="77">
        <v>172.32</v>
      </c>
      <c r="Z9" s="77">
        <v>175.2</v>
      </c>
      <c r="AA9" s="16">
        <v>0.0457515421542514</v>
      </c>
      <c r="AB9" s="49">
        <f t="shared" si="3"/>
        <v>457515.421542514</v>
      </c>
      <c r="AC9" s="50">
        <f t="shared" si="1"/>
        <v>2579</v>
      </c>
      <c r="AD9" s="77">
        <v>177.9</v>
      </c>
      <c r="AE9" s="77">
        <v>177.4</v>
      </c>
      <c r="AF9" s="77">
        <v>176.22</v>
      </c>
      <c r="AG9" s="77">
        <v>175.8</v>
      </c>
      <c r="AH9" s="77">
        <v>180.86</v>
      </c>
      <c r="AI9" s="77">
        <v>179.56</v>
      </c>
      <c r="AJ9" s="77">
        <v>183.78</v>
      </c>
      <c r="AK9" s="77">
        <v>186.88</v>
      </c>
      <c r="AL9" s="77">
        <v>184.22</v>
      </c>
      <c r="AM9" s="77">
        <v>183.84</v>
      </c>
      <c r="AN9" s="77">
        <v>179.14</v>
      </c>
      <c r="AO9" s="77">
        <v>180.92</v>
      </c>
      <c r="AP9" s="77">
        <v>180.72</v>
      </c>
      <c r="AQ9" s="77">
        <v>180.54</v>
      </c>
      <c r="AR9" s="77">
        <v>179.88</v>
      </c>
      <c r="AS9" s="77">
        <v>178.26</v>
      </c>
      <c r="AT9" s="77">
        <v>178.62</v>
      </c>
      <c r="AU9" s="77">
        <v>179.06</v>
      </c>
      <c r="AV9" s="77">
        <v>182</v>
      </c>
      <c r="AW9" s="77">
        <v>179.16</v>
      </c>
      <c r="AX9" s="77">
        <v>184.7</v>
      </c>
      <c r="AY9" s="77">
        <v>186.86</v>
      </c>
    </row>
    <row r="10" spans="1:51">
      <c r="A10" s="14" t="s">
        <v>28</v>
      </c>
      <c r="B10" s="15" t="s">
        <v>29</v>
      </c>
      <c r="C10" s="16">
        <v>0.0544</v>
      </c>
      <c r="D10" s="16">
        <v>0.0293664093945216</v>
      </c>
      <c r="E10" s="49">
        <f t="shared" si="2"/>
        <v>293664.093945216</v>
      </c>
      <c r="F10" s="50">
        <f t="shared" si="0"/>
        <v>1659</v>
      </c>
      <c r="G10" s="51">
        <v>176.92</v>
      </c>
      <c r="H10" s="52">
        <v>176.5</v>
      </c>
      <c r="I10" s="52">
        <v>175.1</v>
      </c>
      <c r="J10" s="52">
        <v>174.86</v>
      </c>
      <c r="K10" s="52">
        <v>173.8</v>
      </c>
      <c r="L10" s="52">
        <v>173.14</v>
      </c>
      <c r="M10" s="52">
        <v>173.98</v>
      </c>
      <c r="N10" s="52">
        <v>172</v>
      </c>
      <c r="O10" s="77">
        <v>172.14</v>
      </c>
      <c r="P10" s="77">
        <v>171.62</v>
      </c>
      <c r="Q10" s="77">
        <v>172.24</v>
      </c>
      <c r="R10" s="77">
        <v>172.9</v>
      </c>
      <c r="S10" s="77">
        <v>171.68</v>
      </c>
      <c r="T10" s="77">
        <v>172.4</v>
      </c>
      <c r="U10" s="77">
        <v>175.32</v>
      </c>
      <c r="V10" s="77">
        <v>174.32</v>
      </c>
      <c r="W10" s="77">
        <v>172.8</v>
      </c>
      <c r="X10" s="77">
        <v>170.22</v>
      </c>
      <c r="Y10" s="77">
        <v>172.24</v>
      </c>
      <c r="Z10" s="77">
        <v>173</v>
      </c>
      <c r="AA10" s="16">
        <v>0.0254141245142155</v>
      </c>
      <c r="AB10" s="49">
        <f t="shared" si="3"/>
        <v>254141.245142155</v>
      </c>
      <c r="AC10" s="50">
        <f t="shared" si="1"/>
        <v>1464</v>
      </c>
      <c r="AD10" s="77">
        <v>171.76</v>
      </c>
      <c r="AE10" s="77">
        <v>173.58</v>
      </c>
      <c r="AF10" s="77">
        <v>173.78</v>
      </c>
      <c r="AG10" s="77">
        <v>172.5</v>
      </c>
      <c r="AH10" s="77">
        <v>173.68</v>
      </c>
      <c r="AI10" s="77">
        <v>175.74</v>
      </c>
      <c r="AJ10" s="77">
        <v>178.62</v>
      </c>
      <c r="AK10" s="77">
        <v>180.22</v>
      </c>
      <c r="AL10" s="77">
        <v>180</v>
      </c>
      <c r="AM10" s="77">
        <v>183.26</v>
      </c>
      <c r="AN10" s="77">
        <v>185</v>
      </c>
      <c r="AO10" s="77">
        <v>183.3</v>
      </c>
      <c r="AP10" s="77">
        <v>183.12</v>
      </c>
      <c r="AQ10" s="77">
        <v>180.68</v>
      </c>
      <c r="AR10" s="77">
        <v>176.66</v>
      </c>
      <c r="AS10" s="77">
        <v>178.06</v>
      </c>
      <c r="AT10" s="77">
        <v>177.4</v>
      </c>
      <c r="AU10" s="77">
        <v>176.22</v>
      </c>
      <c r="AV10" s="77">
        <v>176.3</v>
      </c>
      <c r="AW10" s="77">
        <v>174.9</v>
      </c>
      <c r="AX10" s="77">
        <v>175.74</v>
      </c>
      <c r="AY10" s="77">
        <v>176.2</v>
      </c>
    </row>
    <row r="11" spans="1:51">
      <c r="A11" s="14" t="s">
        <v>30</v>
      </c>
      <c r="B11" s="15" t="s">
        <v>31</v>
      </c>
      <c r="C11" s="16">
        <v>0.0493</v>
      </c>
      <c r="D11" s="16">
        <v>0.0256909712359835</v>
      </c>
      <c r="E11" s="49">
        <f t="shared" si="2"/>
        <v>256909.712359835</v>
      </c>
      <c r="F11" s="50">
        <f t="shared" si="0"/>
        <v>686</v>
      </c>
      <c r="G11" s="51">
        <v>374.35</v>
      </c>
      <c r="H11" s="52">
        <v>382.25</v>
      </c>
      <c r="I11" s="52">
        <v>373.85</v>
      </c>
      <c r="J11" s="52">
        <v>373.1</v>
      </c>
      <c r="K11" s="52">
        <v>367.6</v>
      </c>
      <c r="L11" s="52">
        <v>364</v>
      </c>
      <c r="M11" s="52">
        <v>364.05</v>
      </c>
      <c r="N11" s="52">
        <v>362.55</v>
      </c>
      <c r="O11" s="77">
        <v>362.7</v>
      </c>
      <c r="P11" s="77">
        <v>367.95</v>
      </c>
      <c r="Q11" s="77">
        <v>374.95</v>
      </c>
      <c r="R11" s="77">
        <v>373.65</v>
      </c>
      <c r="S11" s="77">
        <v>374.7</v>
      </c>
      <c r="T11" s="77">
        <v>373.6</v>
      </c>
      <c r="U11" s="77">
        <v>373.6</v>
      </c>
      <c r="V11" s="77">
        <v>388.55</v>
      </c>
      <c r="W11" s="77">
        <v>389.35</v>
      </c>
      <c r="X11" s="77">
        <v>376.1</v>
      </c>
      <c r="Y11" s="77">
        <v>379.85</v>
      </c>
      <c r="Z11" s="77">
        <v>373.3</v>
      </c>
      <c r="AA11" s="16">
        <v>0.05424279875315</v>
      </c>
      <c r="AB11" s="49">
        <f t="shared" si="3"/>
        <v>542427.9875315</v>
      </c>
      <c r="AC11" s="50">
        <f t="shared" si="1"/>
        <v>1419</v>
      </c>
      <c r="AD11" s="77">
        <v>374.65</v>
      </c>
      <c r="AE11" s="77">
        <v>382.15</v>
      </c>
      <c r="AF11" s="77">
        <v>384.35</v>
      </c>
      <c r="AG11" s="77">
        <v>380.4</v>
      </c>
      <c r="AH11" s="77">
        <v>379.35</v>
      </c>
      <c r="AI11" s="77">
        <v>388.15</v>
      </c>
      <c r="AJ11" s="77">
        <v>388.75</v>
      </c>
      <c r="AK11" s="77">
        <v>392.9</v>
      </c>
      <c r="AL11" s="77">
        <v>393.3</v>
      </c>
      <c r="AM11" s="77">
        <v>400</v>
      </c>
      <c r="AN11" s="77">
        <v>406.7</v>
      </c>
      <c r="AO11" s="77">
        <v>400.7</v>
      </c>
      <c r="AP11" s="77">
        <v>399</v>
      </c>
      <c r="AQ11" s="77">
        <v>397.1</v>
      </c>
      <c r="AR11" s="77">
        <v>396.7</v>
      </c>
      <c r="AS11" s="77">
        <v>401.25</v>
      </c>
      <c r="AT11" s="77">
        <v>402.35</v>
      </c>
      <c r="AU11" s="77">
        <v>397.9</v>
      </c>
      <c r="AV11" s="77">
        <v>396.95</v>
      </c>
      <c r="AW11" s="77">
        <v>396.8</v>
      </c>
      <c r="AX11" s="77">
        <v>399.6</v>
      </c>
      <c r="AY11" s="77">
        <v>404.4</v>
      </c>
    </row>
    <row r="12" spans="1:51">
      <c r="A12" s="14" t="s">
        <v>32</v>
      </c>
      <c r="B12" s="15" t="s">
        <v>33</v>
      </c>
      <c r="C12" s="16">
        <v>0.0461</v>
      </c>
      <c r="D12" s="16">
        <v>0.023129451991547</v>
      </c>
      <c r="E12" s="49">
        <f t="shared" si="2"/>
        <v>231294.51991547</v>
      </c>
      <c r="F12" s="50">
        <f t="shared" si="0"/>
        <v>827</v>
      </c>
      <c r="G12" s="51">
        <v>279.6</v>
      </c>
      <c r="H12" s="52">
        <v>276</v>
      </c>
      <c r="I12" s="52">
        <v>279.5</v>
      </c>
      <c r="J12" s="52">
        <v>281.2</v>
      </c>
      <c r="K12" s="52">
        <v>279.9</v>
      </c>
      <c r="L12" s="52">
        <v>280</v>
      </c>
      <c r="M12" s="52">
        <v>283.8</v>
      </c>
      <c r="N12" s="52">
        <v>285.3</v>
      </c>
      <c r="O12" s="77">
        <v>283.1</v>
      </c>
      <c r="P12" s="77">
        <v>275.5</v>
      </c>
      <c r="Q12" s="77">
        <v>278.6</v>
      </c>
      <c r="R12" s="77">
        <v>279.1</v>
      </c>
      <c r="S12" s="77">
        <v>277.5</v>
      </c>
      <c r="T12" s="77">
        <v>275.8</v>
      </c>
      <c r="U12" s="77">
        <v>281.7</v>
      </c>
      <c r="V12" s="77">
        <v>280.8</v>
      </c>
      <c r="W12" s="77">
        <v>289.5</v>
      </c>
      <c r="X12" s="77">
        <v>280.3</v>
      </c>
      <c r="Y12" s="77">
        <v>287.7</v>
      </c>
      <c r="Z12" s="77">
        <v>287.5</v>
      </c>
      <c r="AA12" s="16">
        <v>0.02255693451451</v>
      </c>
      <c r="AB12" s="49">
        <f t="shared" si="3"/>
        <v>225569.3451451</v>
      </c>
      <c r="AC12" s="50">
        <f t="shared" si="1"/>
        <v>774</v>
      </c>
      <c r="AD12" s="77">
        <v>290.1</v>
      </c>
      <c r="AE12" s="77">
        <v>291.2</v>
      </c>
      <c r="AF12" s="77">
        <v>291.2</v>
      </c>
      <c r="AG12" s="77">
        <v>287.2</v>
      </c>
      <c r="AH12" s="77">
        <v>290.6</v>
      </c>
      <c r="AI12" s="77">
        <v>289.4</v>
      </c>
      <c r="AJ12" s="77">
        <v>293.6</v>
      </c>
      <c r="AK12" s="77">
        <v>291.8</v>
      </c>
      <c r="AL12" s="77">
        <v>293</v>
      </c>
      <c r="AM12" s="77">
        <v>292.1</v>
      </c>
      <c r="AN12" s="77">
        <v>289.2</v>
      </c>
      <c r="AO12" s="77">
        <v>292.5</v>
      </c>
      <c r="AP12" s="77">
        <v>290.5</v>
      </c>
      <c r="AQ12" s="77">
        <v>289.9</v>
      </c>
      <c r="AR12" s="77">
        <v>288</v>
      </c>
      <c r="AS12" s="77">
        <v>287.2</v>
      </c>
      <c r="AT12" s="77">
        <v>287.8</v>
      </c>
      <c r="AU12" s="77">
        <v>284.9</v>
      </c>
      <c r="AV12" s="77">
        <v>285.6</v>
      </c>
      <c r="AW12" s="77">
        <v>279.5</v>
      </c>
      <c r="AX12" s="77">
        <v>281.6</v>
      </c>
      <c r="AY12" s="77">
        <v>280.9</v>
      </c>
    </row>
    <row r="13" spans="1:51">
      <c r="A13" s="14" t="s">
        <v>34</v>
      </c>
      <c r="B13" s="15" t="s">
        <v>35</v>
      </c>
      <c r="C13" s="16">
        <v>0.0452</v>
      </c>
      <c r="D13" s="16">
        <v>0.0266709705790691</v>
      </c>
      <c r="E13" s="49">
        <f t="shared" si="2"/>
        <v>266709.705790691</v>
      </c>
      <c r="F13" s="50">
        <f t="shared" si="0"/>
        <v>1054</v>
      </c>
      <c r="G13" s="51">
        <v>252.9</v>
      </c>
      <c r="H13" s="52">
        <v>250</v>
      </c>
      <c r="I13" s="52">
        <v>242.4</v>
      </c>
      <c r="J13" s="52">
        <v>243.8</v>
      </c>
      <c r="K13" s="52">
        <v>242.2</v>
      </c>
      <c r="L13" s="52">
        <v>242.9</v>
      </c>
      <c r="M13" s="52">
        <v>244.2</v>
      </c>
      <c r="N13" s="52">
        <v>243.8</v>
      </c>
      <c r="O13" s="77">
        <v>243.5</v>
      </c>
      <c r="P13" s="77">
        <v>242.3</v>
      </c>
      <c r="Q13" s="77">
        <v>246.2</v>
      </c>
      <c r="R13" s="77">
        <v>247.2</v>
      </c>
      <c r="S13" s="77">
        <v>249.7</v>
      </c>
      <c r="T13" s="77">
        <v>246.2</v>
      </c>
      <c r="U13" s="77">
        <v>263.2</v>
      </c>
      <c r="V13" s="77">
        <v>258.3</v>
      </c>
      <c r="W13" s="77">
        <v>260.6</v>
      </c>
      <c r="X13" s="77">
        <v>255.3</v>
      </c>
      <c r="Y13" s="77">
        <v>256.2</v>
      </c>
      <c r="Z13" s="77">
        <v>252.9</v>
      </c>
      <c r="AA13" s="16">
        <v>0.0345798162515241</v>
      </c>
      <c r="AB13" s="49">
        <f t="shared" si="3"/>
        <v>345798.162515241</v>
      </c>
      <c r="AC13" s="50">
        <f t="shared" si="1"/>
        <v>1371</v>
      </c>
      <c r="AD13" s="77">
        <v>249.3</v>
      </c>
      <c r="AE13" s="77">
        <v>252.2</v>
      </c>
      <c r="AF13" s="77">
        <v>252.9</v>
      </c>
      <c r="AG13" s="77">
        <v>251.7</v>
      </c>
      <c r="AH13" s="77">
        <v>253.8</v>
      </c>
      <c r="AI13" s="77">
        <v>261.9</v>
      </c>
      <c r="AJ13" s="77">
        <v>263.1</v>
      </c>
      <c r="AK13" s="77">
        <v>267.5</v>
      </c>
      <c r="AL13" s="77">
        <v>267.8</v>
      </c>
      <c r="AM13" s="77">
        <v>271.8</v>
      </c>
      <c r="AN13" s="77">
        <v>275.5</v>
      </c>
      <c r="AO13" s="77">
        <v>272</v>
      </c>
      <c r="AP13" s="77">
        <v>272</v>
      </c>
      <c r="AQ13" s="77">
        <v>269.2</v>
      </c>
      <c r="AR13" s="77">
        <v>265.9</v>
      </c>
      <c r="AS13" s="77">
        <v>266.5</v>
      </c>
      <c r="AT13" s="77">
        <v>263.4</v>
      </c>
      <c r="AU13" s="77">
        <v>260.2</v>
      </c>
      <c r="AV13" s="77">
        <v>258.7</v>
      </c>
      <c r="AW13" s="77">
        <v>257.1</v>
      </c>
      <c r="AX13" s="77">
        <v>258</v>
      </c>
      <c r="AY13" s="77">
        <v>260.2</v>
      </c>
    </row>
    <row r="14" spans="1:51">
      <c r="A14" s="14" t="s">
        <v>36</v>
      </c>
      <c r="B14" s="15" t="s">
        <v>37</v>
      </c>
      <c r="C14" s="16">
        <v>0.0441</v>
      </c>
      <c r="D14" s="16">
        <v>0.0217569965850866</v>
      </c>
      <c r="E14" s="49">
        <f t="shared" si="2"/>
        <v>217569.965850866</v>
      </c>
      <c r="F14" s="50">
        <f t="shared" si="0"/>
        <v>89</v>
      </c>
      <c r="G14" s="51">
        <v>2434</v>
      </c>
      <c r="H14" s="52">
        <v>2474</v>
      </c>
      <c r="I14" s="52">
        <v>2436</v>
      </c>
      <c r="J14" s="52">
        <v>2409</v>
      </c>
      <c r="K14" s="52">
        <v>2397</v>
      </c>
      <c r="L14" s="52">
        <v>2420</v>
      </c>
      <c r="M14" s="52">
        <v>2394</v>
      </c>
      <c r="N14" s="52">
        <v>2367</v>
      </c>
      <c r="O14" s="77">
        <v>2329</v>
      </c>
      <c r="P14" s="77">
        <v>2301</v>
      </c>
      <c r="Q14" s="77">
        <v>2354</v>
      </c>
      <c r="R14" s="77">
        <v>2347</v>
      </c>
      <c r="S14" s="77">
        <v>2385</v>
      </c>
      <c r="T14" s="77">
        <v>2388</v>
      </c>
      <c r="U14" s="77">
        <v>2378</v>
      </c>
      <c r="V14" s="77">
        <v>2270</v>
      </c>
      <c r="W14" s="77">
        <v>2151</v>
      </c>
      <c r="X14" s="77">
        <v>2078</v>
      </c>
      <c r="Y14" s="77">
        <v>2097</v>
      </c>
      <c r="Z14" s="77">
        <v>2095</v>
      </c>
      <c r="AA14" s="16">
        <v>0.0212815491645824</v>
      </c>
      <c r="AB14" s="49">
        <f t="shared" si="3"/>
        <v>212815.491645824</v>
      </c>
      <c r="AC14" s="50">
        <f t="shared" si="1"/>
        <v>100</v>
      </c>
      <c r="AD14" s="77">
        <v>2113</v>
      </c>
      <c r="AE14" s="77">
        <v>2122</v>
      </c>
      <c r="AF14" s="77">
        <v>2114</v>
      </c>
      <c r="AG14" s="77">
        <v>2037</v>
      </c>
      <c r="AH14" s="77">
        <v>2046</v>
      </c>
      <c r="AI14" s="77">
        <v>2075</v>
      </c>
      <c r="AJ14" s="77">
        <v>2079</v>
      </c>
      <c r="AK14" s="77">
        <v>2065</v>
      </c>
      <c r="AL14" s="77">
        <v>2073</v>
      </c>
      <c r="AM14" s="77">
        <v>2106</v>
      </c>
      <c r="AN14" s="77">
        <v>2103</v>
      </c>
      <c r="AO14" s="77">
        <v>2070</v>
      </c>
      <c r="AP14" s="77">
        <v>2095</v>
      </c>
      <c r="AQ14" s="77">
        <v>2081</v>
      </c>
      <c r="AR14" s="77">
        <v>2072</v>
      </c>
      <c r="AS14" s="77">
        <v>2119</v>
      </c>
      <c r="AT14" s="77">
        <v>2125</v>
      </c>
      <c r="AU14" s="77">
        <v>2091</v>
      </c>
      <c r="AV14" s="77">
        <v>2063</v>
      </c>
      <c r="AW14" s="77">
        <v>2040</v>
      </c>
      <c r="AX14" s="77">
        <v>2047</v>
      </c>
      <c r="AY14" s="77">
        <v>2019</v>
      </c>
    </row>
    <row r="15" spans="1:51">
      <c r="A15" s="14" t="s">
        <v>38</v>
      </c>
      <c r="B15" s="15" t="s">
        <v>39</v>
      </c>
      <c r="C15" s="16">
        <v>0.0385</v>
      </c>
      <c r="D15" s="16">
        <v>0.0244407229323412</v>
      </c>
      <c r="E15" s="49">
        <f t="shared" si="2"/>
        <v>244407.229323412</v>
      </c>
      <c r="F15" s="50">
        <f t="shared" si="0"/>
        <v>5812</v>
      </c>
      <c r="G15" s="51">
        <v>42.05</v>
      </c>
      <c r="H15" s="52">
        <v>41.64</v>
      </c>
      <c r="I15" s="52">
        <v>41.69</v>
      </c>
      <c r="J15" s="52">
        <v>41.77</v>
      </c>
      <c r="K15" s="52">
        <v>41.42</v>
      </c>
      <c r="L15" s="52">
        <v>41.34</v>
      </c>
      <c r="M15" s="52">
        <v>41.59</v>
      </c>
      <c r="N15" s="52">
        <v>41.89</v>
      </c>
      <c r="O15" s="77">
        <v>42</v>
      </c>
      <c r="P15" s="77">
        <v>41.51</v>
      </c>
      <c r="Q15" s="77">
        <v>41.99</v>
      </c>
      <c r="R15" s="77">
        <v>42.2</v>
      </c>
      <c r="S15" s="77">
        <v>42.27</v>
      </c>
      <c r="T15" s="77">
        <v>42.15</v>
      </c>
      <c r="U15" s="77">
        <v>42.46</v>
      </c>
      <c r="V15" s="77">
        <v>42.61</v>
      </c>
      <c r="W15" s="77">
        <v>42.68</v>
      </c>
      <c r="X15" s="77">
        <v>39.33</v>
      </c>
      <c r="Y15" s="77">
        <v>39.98</v>
      </c>
      <c r="Z15" s="77">
        <v>40.6</v>
      </c>
      <c r="AA15" s="16">
        <v>0.0250218452745296</v>
      </c>
      <c r="AB15" s="49">
        <f t="shared" si="3"/>
        <v>250218.452745296</v>
      </c>
      <c r="AC15" s="50">
        <f t="shared" si="1"/>
        <v>6019</v>
      </c>
      <c r="AD15" s="77">
        <v>40.76</v>
      </c>
      <c r="AE15" s="77">
        <v>41.57</v>
      </c>
      <c r="AF15" s="77">
        <v>41.39</v>
      </c>
      <c r="AG15" s="77">
        <v>41.62</v>
      </c>
      <c r="AH15" s="77">
        <v>42.12</v>
      </c>
      <c r="AI15" s="77">
        <v>42.67</v>
      </c>
      <c r="AJ15" s="77">
        <v>42.89</v>
      </c>
      <c r="AK15" s="77">
        <v>43.4</v>
      </c>
      <c r="AL15" s="77">
        <v>42.78</v>
      </c>
      <c r="AM15" s="77">
        <v>42.93</v>
      </c>
      <c r="AN15" s="77">
        <v>43.31</v>
      </c>
      <c r="AO15" s="77">
        <v>43.05</v>
      </c>
      <c r="AP15" s="77">
        <v>42.59</v>
      </c>
      <c r="AQ15" s="77">
        <v>40.96</v>
      </c>
      <c r="AR15" s="77">
        <v>39.31</v>
      </c>
      <c r="AS15" s="77">
        <v>39.92</v>
      </c>
      <c r="AT15" s="77">
        <v>39.9</v>
      </c>
      <c r="AU15" s="77">
        <v>39.79</v>
      </c>
      <c r="AV15" s="77">
        <v>39.78</v>
      </c>
      <c r="AW15" s="77">
        <v>39.2</v>
      </c>
      <c r="AX15" s="77">
        <v>39.33</v>
      </c>
      <c r="AY15" s="77">
        <v>39.81</v>
      </c>
    </row>
    <row r="16" spans="1:51">
      <c r="A16" s="14" t="s">
        <v>40</v>
      </c>
      <c r="B16" s="15" t="s">
        <v>41</v>
      </c>
      <c r="C16" s="16">
        <v>0.0381</v>
      </c>
      <c r="D16" s="16">
        <v>0.0187015418264974</v>
      </c>
      <c r="E16" s="49">
        <f t="shared" si="2"/>
        <v>187015.418264974</v>
      </c>
      <c r="F16" s="50">
        <f t="shared" si="0"/>
        <v>2371</v>
      </c>
      <c r="G16" s="51">
        <v>78.87</v>
      </c>
      <c r="H16" s="52">
        <v>77.91</v>
      </c>
      <c r="I16" s="52">
        <v>76.6</v>
      </c>
      <c r="J16" s="52">
        <v>76.68</v>
      </c>
      <c r="K16" s="52">
        <v>76.23</v>
      </c>
      <c r="L16" s="52">
        <v>76.08</v>
      </c>
      <c r="M16" s="52">
        <v>77.15</v>
      </c>
      <c r="N16" s="52">
        <v>77.84</v>
      </c>
      <c r="O16" s="77">
        <v>77.74</v>
      </c>
      <c r="P16" s="77">
        <v>77.08</v>
      </c>
      <c r="Q16" s="77">
        <v>78.48</v>
      </c>
      <c r="R16" s="77">
        <v>78.79</v>
      </c>
      <c r="S16" s="77">
        <v>78.87</v>
      </c>
      <c r="T16" s="77">
        <v>77.38</v>
      </c>
      <c r="U16" s="77">
        <v>78.48</v>
      </c>
      <c r="V16" s="77">
        <v>79.07</v>
      </c>
      <c r="W16" s="77">
        <v>80.06</v>
      </c>
      <c r="X16" s="77">
        <v>76.53</v>
      </c>
      <c r="Y16" s="77">
        <v>78.5</v>
      </c>
      <c r="Z16" s="77">
        <v>78.38</v>
      </c>
      <c r="AA16" s="16">
        <v>0.029998524523104</v>
      </c>
      <c r="AB16" s="49">
        <f t="shared" si="3"/>
        <v>299985.24523104</v>
      </c>
      <c r="AC16" s="50">
        <f t="shared" si="1"/>
        <v>3773</v>
      </c>
      <c r="AD16" s="77">
        <v>79.3</v>
      </c>
      <c r="AE16" s="77">
        <v>79.5</v>
      </c>
      <c r="AF16" s="77">
        <v>81.5</v>
      </c>
      <c r="AG16" s="77">
        <v>81.55</v>
      </c>
      <c r="AH16" s="77">
        <v>81.75</v>
      </c>
      <c r="AI16" s="77">
        <v>82.94</v>
      </c>
      <c r="AJ16" s="77">
        <v>83.94</v>
      </c>
      <c r="AK16" s="77">
        <v>83.7</v>
      </c>
      <c r="AL16" s="77">
        <v>82.29</v>
      </c>
      <c r="AM16" s="77">
        <v>82.86</v>
      </c>
      <c r="AN16" s="77">
        <v>83.31</v>
      </c>
      <c r="AO16" s="77">
        <v>82.72</v>
      </c>
      <c r="AP16" s="77">
        <v>83.38</v>
      </c>
      <c r="AQ16" s="77">
        <v>80.43</v>
      </c>
      <c r="AR16" s="77">
        <v>77.03</v>
      </c>
      <c r="AS16" s="77">
        <v>76.53</v>
      </c>
      <c r="AT16" s="77">
        <v>76.9</v>
      </c>
      <c r="AU16" s="77">
        <v>76.83</v>
      </c>
      <c r="AV16" s="77">
        <v>77.05</v>
      </c>
      <c r="AW16" s="77">
        <v>75.94</v>
      </c>
      <c r="AX16" s="77">
        <v>76.19</v>
      </c>
      <c r="AY16" s="77">
        <v>77.56</v>
      </c>
    </row>
    <row r="17" spans="1:51">
      <c r="A17" s="14" t="s">
        <v>42</v>
      </c>
      <c r="B17" s="15" t="s">
        <v>43</v>
      </c>
      <c r="C17" s="16">
        <v>0.0317</v>
      </c>
      <c r="D17" s="16">
        <v>0.0225561557396016</v>
      </c>
      <c r="E17" s="49">
        <f t="shared" si="2"/>
        <v>225561.557396016</v>
      </c>
      <c r="F17" s="50">
        <f t="shared" si="0"/>
        <v>1775</v>
      </c>
      <c r="G17" s="51">
        <v>127.05</v>
      </c>
      <c r="H17" s="52">
        <v>126.15</v>
      </c>
      <c r="I17" s="52">
        <v>125.8</v>
      </c>
      <c r="J17" s="52">
        <v>125.25</v>
      </c>
      <c r="K17" s="52">
        <v>123.8</v>
      </c>
      <c r="L17" s="52">
        <v>122.7</v>
      </c>
      <c r="M17" s="52">
        <v>124.4</v>
      </c>
      <c r="N17" s="52">
        <v>124.8</v>
      </c>
      <c r="O17" s="77">
        <v>124.6</v>
      </c>
      <c r="P17" s="77">
        <v>122.75</v>
      </c>
      <c r="Q17" s="77">
        <v>125.05</v>
      </c>
      <c r="R17" s="77">
        <v>123.7</v>
      </c>
      <c r="S17" s="77">
        <v>124.2</v>
      </c>
      <c r="T17" s="77">
        <v>123.35</v>
      </c>
      <c r="U17" s="77">
        <v>125.15</v>
      </c>
      <c r="V17" s="77">
        <v>124.9</v>
      </c>
      <c r="W17" s="77">
        <v>121.6</v>
      </c>
      <c r="X17" s="77">
        <v>118.75</v>
      </c>
      <c r="Y17" s="77">
        <v>119.95</v>
      </c>
      <c r="Z17" s="77">
        <v>120.6</v>
      </c>
      <c r="AA17" s="16">
        <v>0.0244125416585414</v>
      </c>
      <c r="AB17" s="49">
        <f t="shared" si="3"/>
        <v>244125.416585414</v>
      </c>
      <c r="AC17" s="50">
        <f t="shared" si="1"/>
        <v>1987</v>
      </c>
      <c r="AD17" s="77">
        <v>121.4</v>
      </c>
      <c r="AE17" s="77">
        <v>122.8</v>
      </c>
      <c r="AF17" s="77">
        <v>123.65</v>
      </c>
      <c r="AG17" s="77">
        <v>124.9</v>
      </c>
      <c r="AH17" s="77">
        <v>125</v>
      </c>
      <c r="AI17" s="77">
        <v>126.6</v>
      </c>
      <c r="AJ17" s="77">
        <v>127.9</v>
      </c>
      <c r="AK17" s="77">
        <v>129.6</v>
      </c>
      <c r="AL17" s="77">
        <v>128</v>
      </c>
      <c r="AM17" s="77">
        <v>129</v>
      </c>
      <c r="AN17" s="77">
        <v>128.6</v>
      </c>
      <c r="AO17" s="77">
        <v>128.65</v>
      </c>
      <c r="AP17" s="77">
        <v>129</v>
      </c>
      <c r="AQ17" s="77">
        <v>121.5</v>
      </c>
      <c r="AR17" s="77">
        <v>114.45</v>
      </c>
      <c r="AS17" s="77">
        <v>115.7</v>
      </c>
      <c r="AT17" s="77">
        <v>117.1</v>
      </c>
      <c r="AU17" s="77">
        <v>115.9</v>
      </c>
      <c r="AV17" s="77">
        <v>115.45</v>
      </c>
      <c r="AW17" s="77">
        <v>113.05</v>
      </c>
      <c r="AX17" s="77">
        <v>114.3</v>
      </c>
      <c r="AY17" s="77">
        <v>115.9</v>
      </c>
    </row>
    <row r="18" spans="1:51">
      <c r="A18" s="14" t="s">
        <v>44</v>
      </c>
      <c r="B18" s="15" t="s">
        <v>45</v>
      </c>
      <c r="C18" s="16">
        <v>0.0252</v>
      </c>
      <c r="D18" s="16">
        <v>0.0410612591499043</v>
      </c>
      <c r="E18" s="49">
        <f t="shared" si="2"/>
        <v>410612.591499043</v>
      </c>
      <c r="F18" s="50">
        <f t="shared" si="0"/>
        <v>6043</v>
      </c>
      <c r="G18" s="51">
        <v>67.94</v>
      </c>
      <c r="H18" s="52">
        <v>68.2</v>
      </c>
      <c r="I18" s="52">
        <v>67.84</v>
      </c>
      <c r="J18" s="52">
        <v>68.22</v>
      </c>
      <c r="K18" s="52">
        <v>67.88</v>
      </c>
      <c r="L18" s="52">
        <v>67.52</v>
      </c>
      <c r="M18" s="52">
        <v>67.68</v>
      </c>
      <c r="N18" s="52">
        <v>68.06</v>
      </c>
      <c r="O18" s="77">
        <v>67.18</v>
      </c>
      <c r="P18" s="77">
        <v>67.16</v>
      </c>
      <c r="Q18" s="77">
        <v>67.18</v>
      </c>
      <c r="R18" s="77">
        <v>67.3</v>
      </c>
      <c r="S18" s="77">
        <v>66.78</v>
      </c>
      <c r="T18" s="77">
        <v>65.78</v>
      </c>
      <c r="U18" s="77">
        <v>66.36</v>
      </c>
      <c r="V18" s="77">
        <v>71.24</v>
      </c>
      <c r="W18" s="77">
        <v>71.88</v>
      </c>
      <c r="X18" s="77">
        <v>72.5</v>
      </c>
      <c r="Y18" s="77">
        <v>73.04</v>
      </c>
      <c r="Z18" s="77">
        <v>72.32</v>
      </c>
      <c r="AA18" s="16">
        <v>0.0417459517495741</v>
      </c>
      <c r="AB18" s="49">
        <f t="shared" si="3"/>
        <v>417459.517495741</v>
      </c>
      <c r="AC18" s="50">
        <f t="shared" si="1"/>
        <v>5850</v>
      </c>
      <c r="AD18" s="77">
        <v>71.78</v>
      </c>
      <c r="AE18" s="77">
        <v>71.36</v>
      </c>
      <c r="AF18" s="77">
        <v>71.9</v>
      </c>
      <c r="AG18" s="77">
        <v>70.86</v>
      </c>
      <c r="AH18" s="77">
        <v>70.78</v>
      </c>
      <c r="AI18" s="77">
        <v>71.52</v>
      </c>
      <c r="AJ18" s="77">
        <v>71.7</v>
      </c>
      <c r="AK18" s="77">
        <v>72.06</v>
      </c>
      <c r="AL18" s="77">
        <v>71.7</v>
      </c>
      <c r="AM18" s="77">
        <v>72.24</v>
      </c>
      <c r="AN18" s="77">
        <v>74.52</v>
      </c>
      <c r="AO18" s="77">
        <v>73.84</v>
      </c>
      <c r="AP18" s="77">
        <v>73.24</v>
      </c>
      <c r="AQ18" s="77">
        <v>72.7</v>
      </c>
      <c r="AR18" s="77">
        <v>72.04</v>
      </c>
      <c r="AS18" s="77">
        <v>71.72</v>
      </c>
      <c r="AT18" s="77">
        <v>71.04</v>
      </c>
      <c r="AU18" s="77">
        <v>71.18</v>
      </c>
      <c r="AV18" s="77">
        <v>71.5</v>
      </c>
      <c r="AW18" s="77">
        <v>73.32</v>
      </c>
      <c r="AX18" s="77">
        <v>74.32</v>
      </c>
      <c r="AY18" s="77">
        <v>74.98</v>
      </c>
    </row>
    <row r="19" spans="1:51">
      <c r="A19" s="14" t="s">
        <v>46</v>
      </c>
      <c r="B19" s="15" t="s">
        <v>47</v>
      </c>
      <c r="C19" s="16">
        <v>0.0233</v>
      </c>
      <c r="D19" s="16">
        <v>0.0187195909401453</v>
      </c>
      <c r="E19" s="49">
        <f t="shared" si="2"/>
        <v>187195.909401453</v>
      </c>
      <c r="F19" s="50">
        <f t="shared" si="0"/>
        <v>1843</v>
      </c>
      <c r="G19" s="51">
        <v>101.55</v>
      </c>
      <c r="H19" s="52">
        <v>101.3</v>
      </c>
      <c r="I19" s="52">
        <v>100.4</v>
      </c>
      <c r="J19" s="52">
        <v>99.74</v>
      </c>
      <c r="K19" s="52">
        <v>99.36</v>
      </c>
      <c r="L19" s="52">
        <v>96.94</v>
      </c>
      <c r="M19" s="52">
        <v>100.35</v>
      </c>
      <c r="N19" s="52">
        <v>100.55</v>
      </c>
      <c r="O19" s="77">
        <v>100.85</v>
      </c>
      <c r="P19" s="77">
        <v>98.72</v>
      </c>
      <c r="Q19" s="77">
        <v>102</v>
      </c>
      <c r="R19" s="77">
        <v>102.7</v>
      </c>
      <c r="S19" s="77">
        <v>102.15</v>
      </c>
      <c r="T19" s="77">
        <v>100.6</v>
      </c>
      <c r="U19" s="77">
        <v>101.2</v>
      </c>
      <c r="V19" s="77">
        <v>101.2</v>
      </c>
      <c r="W19" s="77">
        <v>100.3</v>
      </c>
      <c r="X19" s="77">
        <v>90.98</v>
      </c>
      <c r="Y19" s="77">
        <v>92</v>
      </c>
      <c r="Z19" s="77">
        <v>92.8</v>
      </c>
      <c r="AA19" s="16">
        <v>0.0199785414523321</v>
      </c>
      <c r="AB19" s="49">
        <f t="shared" si="3"/>
        <v>199785.414523321</v>
      </c>
      <c r="AC19" s="50">
        <f t="shared" si="1"/>
        <v>2069</v>
      </c>
      <c r="AD19" s="77">
        <v>93.5</v>
      </c>
      <c r="AE19" s="77">
        <v>96.56</v>
      </c>
      <c r="AF19" s="77">
        <v>97.92</v>
      </c>
      <c r="AG19" s="77">
        <v>96.8</v>
      </c>
      <c r="AH19" s="77">
        <v>98.4</v>
      </c>
      <c r="AI19" s="77">
        <v>98.2</v>
      </c>
      <c r="AJ19" s="77">
        <v>99.12</v>
      </c>
      <c r="AK19" s="77">
        <v>99</v>
      </c>
      <c r="AL19" s="77">
        <v>97.7</v>
      </c>
      <c r="AM19" s="77">
        <v>100.65</v>
      </c>
      <c r="AN19" s="77">
        <v>97.5</v>
      </c>
      <c r="AO19" s="77">
        <v>96.4</v>
      </c>
      <c r="AP19" s="77">
        <v>98.16</v>
      </c>
      <c r="AQ19" s="77">
        <v>94.88</v>
      </c>
      <c r="AR19" s="77">
        <v>93.64</v>
      </c>
      <c r="AS19" s="77">
        <v>93.44</v>
      </c>
      <c r="AT19" s="77">
        <v>93.6</v>
      </c>
      <c r="AU19" s="77">
        <v>92.2</v>
      </c>
      <c r="AV19" s="77">
        <v>92.94</v>
      </c>
      <c r="AW19" s="77">
        <v>90.5</v>
      </c>
      <c r="AX19" s="77">
        <v>90.36</v>
      </c>
      <c r="AY19" s="77">
        <v>91.24</v>
      </c>
    </row>
    <row r="20" spans="1:51">
      <c r="A20" s="14" t="s">
        <v>48</v>
      </c>
      <c r="B20" s="15" t="s">
        <v>49</v>
      </c>
      <c r="C20" s="16">
        <v>0.0168</v>
      </c>
      <c r="D20" s="16">
        <v>0.0309985464353776</v>
      </c>
      <c r="E20" s="49">
        <f t="shared" si="2"/>
        <v>309985.464353776</v>
      </c>
      <c r="F20" s="50">
        <f t="shared" si="0"/>
        <v>15671</v>
      </c>
      <c r="G20" s="51">
        <v>19.78</v>
      </c>
      <c r="H20" s="52">
        <v>19.475</v>
      </c>
      <c r="I20" s="52">
        <v>19.67</v>
      </c>
      <c r="J20" s="52">
        <v>19.725</v>
      </c>
      <c r="K20" s="52">
        <v>19.49</v>
      </c>
      <c r="L20" s="52">
        <v>19.39</v>
      </c>
      <c r="M20" s="52">
        <v>19.375</v>
      </c>
      <c r="N20" s="52">
        <v>19.475</v>
      </c>
      <c r="O20" s="77">
        <v>19.64</v>
      </c>
      <c r="P20" s="77">
        <v>20.02</v>
      </c>
      <c r="Q20" s="77">
        <v>19.59</v>
      </c>
      <c r="R20" s="77">
        <v>19.645</v>
      </c>
      <c r="S20" s="77">
        <v>19.665</v>
      </c>
      <c r="T20" s="77">
        <v>19.6</v>
      </c>
      <c r="U20" s="77">
        <v>19.57</v>
      </c>
      <c r="V20" s="77">
        <v>19.655</v>
      </c>
      <c r="W20" s="77">
        <v>19.62</v>
      </c>
      <c r="X20" s="77">
        <v>19.14</v>
      </c>
      <c r="Y20" s="77">
        <v>19.055</v>
      </c>
      <c r="Z20" s="77">
        <v>19.045</v>
      </c>
      <c r="AA20" s="16">
        <v>0.0197851745652117</v>
      </c>
      <c r="AB20" s="49">
        <f t="shared" si="3"/>
        <v>197851.745652117</v>
      </c>
      <c r="AC20" s="50">
        <f t="shared" si="1"/>
        <v>10504</v>
      </c>
      <c r="AD20" s="77">
        <v>19.175</v>
      </c>
      <c r="AE20" s="77">
        <v>18.835</v>
      </c>
      <c r="AF20" s="77">
        <v>18.65</v>
      </c>
      <c r="AG20" s="77">
        <v>18.795</v>
      </c>
      <c r="AH20" s="77">
        <v>18.665</v>
      </c>
      <c r="AI20" s="77">
        <v>18.7</v>
      </c>
      <c r="AJ20" s="77">
        <v>18.645</v>
      </c>
      <c r="AK20" s="77">
        <v>18.91</v>
      </c>
      <c r="AL20" s="77">
        <v>18.62</v>
      </c>
      <c r="AM20" s="77">
        <v>18.62</v>
      </c>
      <c r="AN20" s="77">
        <v>18.905</v>
      </c>
      <c r="AO20" s="77">
        <v>18.895</v>
      </c>
      <c r="AP20" s="77">
        <v>18.77</v>
      </c>
      <c r="AQ20" s="77">
        <v>18.325</v>
      </c>
      <c r="AR20" s="77">
        <v>17.98</v>
      </c>
      <c r="AS20" s="77">
        <v>17.86</v>
      </c>
      <c r="AT20" s="77">
        <v>17.8</v>
      </c>
      <c r="AU20" s="77">
        <v>17.69</v>
      </c>
      <c r="AV20" s="77">
        <v>17.615</v>
      </c>
      <c r="AW20" s="77">
        <v>17.355</v>
      </c>
      <c r="AX20" s="77">
        <v>17.57</v>
      </c>
      <c r="AY20" s="77">
        <v>17.64</v>
      </c>
    </row>
    <row r="21" spans="1:51">
      <c r="A21" s="14" t="s">
        <v>50</v>
      </c>
      <c r="B21" s="15" t="s">
        <v>51</v>
      </c>
      <c r="C21" s="16">
        <v>0.016</v>
      </c>
      <c r="D21" s="16">
        <v>0.0175733157438058</v>
      </c>
      <c r="E21" s="49">
        <f t="shared" si="2"/>
        <v>175733.157438058</v>
      </c>
      <c r="F21" s="50">
        <f t="shared" si="0"/>
        <v>20185</v>
      </c>
      <c r="G21" s="51">
        <v>8.706</v>
      </c>
      <c r="H21" s="52">
        <v>9.005</v>
      </c>
      <c r="I21" s="52">
        <v>8.586</v>
      </c>
      <c r="J21" s="52">
        <v>8.434</v>
      </c>
      <c r="K21" s="52">
        <v>8.53</v>
      </c>
      <c r="L21" s="52">
        <v>8</v>
      </c>
      <c r="M21" s="52">
        <v>8.173</v>
      </c>
      <c r="N21" s="52">
        <v>7.913</v>
      </c>
      <c r="O21" s="77">
        <v>8.035</v>
      </c>
      <c r="P21" s="77">
        <v>7.881</v>
      </c>
      <c r="Q21" s="77">
        <v>8.601</v>
      </c>
      <c r="R21" s="77">
        <v>8.246</v>
      </c>
      <c r="S21" s="77">
        <v>8.505</v>
      </c>
      <c r="T21" s="77">
        <v>8.273</v>
      </c>
      <c r="U21" s="77">
        <v>8.286</v>
      </c>
      <c r="V21" s="77">
        <v>7.912</v>
      </c>
      <c r="W21" s="77">
        <v>7.763</v>
      </c>
      <c r="X21" s="77">
        <v>7.589</v>
      </c>
      <c r="Y21" s="77">
        <v>7.567</v>
      </c>
      <c r="Z21" s="77">
        <v>7.584</v>
      </c>
      <c r="AA21" s="16">
        <v>0.0167859585957856</v>
      </c>
      <c r="AB21" s="49">
        <f t="shared" si="3"/>
        <v>167859.585957856</v>
      </c>
      <c r="AC21" s="50">
        <f t="shared" si="1"/>
        <v>21258</v>
      </c>
      <c r="AD21" s="77">
        <v>7.633</v>
      </c>
      <c r="AE21" s="77">
        <v>7.896</v>
      </c>
      <c r="AF21" s="77">
        <v>8.086</v>
      </c>
      <c r="AG21" s="77">
        <v>8.02</v>
      </c>
      <c r="AH21" s="77">
        <v>8.274</v>
      </c>
      <c r="AI21" s="77">
        <v>8.276</v>
      </c>
      <c r="AJ21" s="77">
        <v>8.324</v>
      </c>
      <c r="AK21" s="77">
        <v>8.324</v>
      </c>
      <c r="AL21" s="77">
        <v>8.316</v>
      </c>
      <c r="AM21" s="77">
        <v>8.584</v>
      </c>
      <c r="AN21" s="77">
        <v>8.428</v>
      </c>
      <c r="AO21" s="77">
        <v>8.295</v>
      </c>
      <c r="AP21" s="77">
        <v>8.646</v>
      </c>
      <c r="AQ21" s="77">
        <v>8.572</v>
      </c>
      <c r="AR21" s="77">
        <v>8.412</v>
      </c>
      <c r="AS21" s="77">
        <v>8.173</v>
      </c>
      <c r="AT21" s="77">
        <v>8.215</v>
      </c>
      <c r="AU21" s="77">
        <v>8.184</v>
      </c>
      <c r="AV21" s="77">
        <v>8.23</v>
      </c>
      <c r="AW21" s="77">
        <v>8.01</v>
      </c>
      <c r="AX21" s="77">
        <v>7.792</v>
      </c>
      <c r="AY21" s="77">
        <v>7.713</v>
      </c>
    </row>
    <row r="22" spans="1:51">
      <c r="A22" s="14" t="s">
        <v>52</v>
      </c>
      <c r="B22" s="15" t="s">
        <v>53</v>
      </c>
      <c r="C22" s="16">
        <v>0.0148</v>
      </c>
      <c r="D22" s="16">
        <v>0.0263039799796328</v>
      </c>
      <c r="E22" s="49">
        <f t="shared" si="2"/>
        <v>263039.799796328</v>
      </c>
      <c r="F22" s="50">
        <f t="shared" si="0"/>
        <v>2312</v>
      </c>
      <c r="G22" s="51">
        <v>113.75</v>
      </c>
      <c r="H22" s="52">
        <v>113.4</v>
      </c>
      <c r="I22" s="52">
        <v>113.65</v>
      </c>
      <c r="J22" s="52">
        <v>112.35</v>
      </c>
      <c r="K22" s="52">
        <v>113.6</v>
      </c>
      <c r="L22" s="52">
        <v>111.55</v>
      </c>
      <c r="M22" s="52">
        <v>121.55</v>
      </c>
      <c r="N22" s="52">
        <v>124.75</v>
      </c>
      <c r="O22" s="77">
        <v>124.4</v>
      </c>
      <c r="P22" s="77">
        <v>122.75</v>
      </c>
      <c r="Q22" s="77">
        <v>123.6</v>
      </c>
      <c r="R22" s="77">
        <v>125.15</v>
      </c>
      <c r="S22" s="77">
        <v>124.65</v>
      </c>
      <c r="T22" s="77">
        <v>126.5</v>
      </c>
      <c r="U22" s="77">
        <v>126.8</v>
      </c>
      <c r="V22" s="77">
        <v>127.65</v>
      </c>
      <c r="W22" s="77">
        <v>129.95</v>
      </c>
      <c r="X22" s="77">
        <v>128.7</v>
      </c>
      <c r="Y22" s="77">
        <v>130.15</v>
      </c>
      <c r="Z22" s="77">
        <v>128.8</v>
      </c>
      <c r="AA22" s="16">
        <v>0.0151749851302185</v>
      </c>
      <c r="AB22" s="49">
        <f t="shared" si="3"/>
        <v>151749.851302185</v>
      </c>
      <c r="AC22" s="50">
        <f t="shared" si="1"/>
        <v>1165</v>
      </c>
      <c r="AD22" s="77">
        <v>129</v>
      </c>
      <c r="AE22" s="77">
        <v>130.15</v>
      </c>
      <c r="AF22" s="77">
        <v>129.75</v>
      </c>
      <c r="AG22" s="77">
        <v>129.35</v>
      </c>
      <c r="AH22" s="77">
        <v>131.4</v>
      </c>
      <c r="AI22" s="77">
        <v>130.5</v>
      </c>
      <c r="AJ22" s="77">
        <v>132</v>
      </c>
      <c r="AK22" s="77">
        <v>132.9</v>
      </c>
      <c r="AL22" s="77">
        <v>133.5</v>
      </c>
      <c r="AM22" s="77">
        <v>133.5</v>
      </c>
      <c r="AN22" s="77">
        <v>130.4</v>
      </c>
      <c r="AO22" s="77">
        <v>130.65</v>
      </c>
      <c r="AP22" s="77">
        <v>132.1</v>
      </c>
      <c r="AQ22" s="77">
        <v>130.45</v>
      </c>
      <c r="AR22" s="77">
        <v>130.2</v>
      </c>
      <c r="AS22" s="77">
        <v>129.75</v>
      </c>
      <c r="AT22" s="77">
        <v>130.8</v>
      </c>
      <c r="AU22" s="77">
        <v>130.1</v>
      </c>
      <c r="AV22" s="77">
        <v>130.2</v>
      </c>
      <c r="AW22" s="77">
        <v>127.4</v>
      </c>
      <c r="AX22" s="77">
        <v>128.35</v>
      </c>
      <c r="AY22" s="77">
        <v>130.25</v>
      </c>
    </row>
    <row r="23" spans="1:51">
      <c r="A23" s="14" t="s">
        <v>54</v>
      </c>
      <c r="B23" s="15" t="s">
        <v>55</v>
      </c>
      <c r="C23" s="16">
        <v>0.0147</v>
      </c>
      <c r="D23" s="16">
        <v>0.0232494126804209</v>
      </c>
      <c r="E23" s="49">
        <f t="shared" si="2"/>
        <v>232494.126804209</v>
      </c>
      <c r="F23" s="50">
        <f t="shared" si="0"/>
        <v>1600</v>
      </c>
      <c r="G23" s="51">
        <v>145.25</v>
      </c>
      <c r="H23" s="52">
        <v>145.4</v>
      </c>
      <c r="I23" s="52">
        <v>140.4</v>
      </c>
      <c r="J23" s="52">
        <v>137.1</v>
      </c>
      <c r="K23" s="52">
        <v>136.9</v>
      </c>
      <c r="L23" s="52">
        <v>136.65</v>
      </c>
      <c r="M23" s="52">
        <v>137.75</v>
      </c>
      <c r="N23" s="52">
        <v>137.95</v>
      </c>
      <c r="O23" s="77">
        <v>136.5</v>
      </c>
      <c r="P23" s="77">
        <v>135.1</v>
      </c>
      <c r="Q23" s="77">
        <v>136.2</v>
      </c>
      <c r="R23" s="77">
        <v>135.35</v>
      </c>
      <c r="S23" s="77">
        <v>134.05</v>
      </c>
      <c r="T23" s="77">
        <v>135</v>
      </c>
      <c r="U23" s="77">
        <v>134</v>
      </c>
      <c r="V23" s="77">
        <v>132.5</v>
      </c>
      <c r="W23" s="77">
        <v>130.9</v>
      </c>
      <c r="X23" s="77">
        <v>124.45</v>
      </c>
      <c r="Y23" s="77">
        <v>123.9</v>
      </c>
      <c r="Z23" s="77">
        <v>124.3</v>
      </c>
      <c r="AA23" s="16">
        <v>0.0212574652174562</v>
      </c>
      <c r="AB23" s="49">
        <f t="shared" si="3"/>
        <v>212574.652174562</v>
      </c>
      <c r="AC23" s="50">
        <f t="shared" si="1"/>
        <v>1717</v>
      </c>
      <c r="AD23" s="77">
        <v>121.5</v>
      </c>
      <c r="AE23" s="77">
        <v>123.8</v>
      </c>
      <c r="AF23" s="77">
        <v>125.6</v>
      </c>
      <c r="AG23" s="77">
        <v>123.35</v>
      </c>
      <c r="AH23" s="77">
        <v>121.3</v>
      </c>
      <c r="AI23" s="77">
        <v>123.45</v>
      </c>
      <c r="AJ23" s="77">
        <v>121.95</v>
      </c>
      <c r="AK23" s="77">
        <v>123.05</v>
      </c>
      <c r="AL23" s="77">
        <v>122.5</v>
      </c>
      <c r="AM23" s="77">
        <v>126.7</v>
      </c>
      <c r="AN23" s="77">
        <v>126.5</v>
      </c>
      <c r="AO23" s="77">
        <v>124.95</v>
      </c>
      <c r="AP23" s="77">
        <v>126.6</v>
      </c>
      <c r="AQ23" s="77">
        <v>123.9</v>
      </c>
      <c r="AR23" s="77">
        <v>122.4</v>
      </c>
      <c r="AS23" s="77">
        <v>124.05</v>
      </c>
      <c r="AT23" s="77">
        <v>124.05</v>
      </c>
      <c r="AU23" s="77">
        <v>121.45</v>
      </c>
      <c r="AV23" s="77">
        <v>120.4</v>
      </c>
      <c r="AW23" s="77">
        <v>118.1</v>
      </c>
      <c r="AX23" s="77">
        <v>121.7</v>
      </c>
      <c r="AY23" s="77">
        <v>122.15</v>
      </c>
    </row>
    <row r="24" spans="1:51">
      <c r="A24" s="14" t="s">
        <v>56</v>
      </c>
      <c r="B24" s="15" t="s">
        <v>57</v>
      </c>
      <c r="C24" s="16">
        <v>0.0141</v>
      </c>
      <c r="D24" s="16">
        <v>0.0249342410147707</v>
      </c>
      <c r="E24" s="49">
        <f t="shared" si="2"/>
        <v>249342.410147707</v>
      </c>
      <c r="F24" s="50">
        <f t="shared" si="0"/>
        <v>2806</v>
      </c>
      <c r="G24" s="51">
        <v>88.84</v>
      </c>
      <c r="H24" s="52">
        <v>90.22</v>
      </c>
      <c r="I24" s="52">
        <v>89.06</v>
      </c>
      <c r="J24" s="52">
        <v>88.94</v>
      </c>
      <c r="K24" s="52">
        <v>89.32</v>
      </c>
      <c r="L24" s="52">
        <v>89.88</v>
      </c>
      <c r="M24" s="52">
        <v>83.9</v>
      </c>
      <c r="N24" s="52">
        <v>84.1</v>
      </c>
      <c r="O24" s="77">
        <v>82.44</v>
      </c>
      <c r="P24" s="77">
        <v>83.84</v>
      </c>
      <c r="Q24" s="77">
        <v>83.86</v>
      </c>
      <c r="R24" s="77">
        <v>85.08</v>
      </c>
      <c r="S24" s="77">
        <v>83.52</v>
      </c>
      <c r="T24" s="77">
        <v>81.92</v>
      </c>
      <c r="U24" s="77">
        <v>81.76</v>
      </c>
      <c r="V24" s="77">
        <v>80.2</v>
      </c>
      <c r="W24" s="77">
        <v>80.2</v>
      </c>
      <c r="X24" s="77">
        <v>79.66</v>
      </c>
      <c r="Y24" s="77">
        <v>78.82</v>
      </c>
      <c r="Z24" s="77">
        <v>78.78</v>
      </c>
      <c r="AA24" s="16">
        <v>0.0211749595741014</v>
      </c>
      <c r="AB24" s="49">
        <f t="shared" si="3"/>
        <v>211749.595741014</v>
      </c>
      <c r="AC24" s="50">
        <f t="shared" si="1"/>
        <v>2692</v>
      </c>
      <c r="AD24" s="77">
        <v>78</v>
      </c>
      <c r="AE24" s="77">
        <v>78.64</v>
      </c>
      <c r="AF24" s="77">
        <v>78.1</v>
      </c>
      <c r="AG24" s="77">
        <v>77.6</v>
      </c>
      <c r="AH24" s="77">
        <v>75.14</v>
      </c>
      <c r="AI24" s="77">
        <v>77.08</v>
      </c>
      <c r="AJ24" s="77">
        <v>77.72</v>
      </c>
      <c r="AK24" s="77">
        <v>76.98</v>
      </c>
      <c r="AL24" s="77">
        <v>77.14</v>
      </c>
      <c r="AM24" s="77">
        <v>79.62</v>
      </c>
      <c r="AN24" s="77">
        <v>79.78</v>
      </c>
      <c r="AO24" s="77">
        <v>79.16</v>
      </c>
      <c r="AP24" s="77">
        <v>80.74</v>
      </c>
      <c r="AQ24" s="77">
        <v>79.46</v>
      </c>
      <c r="AR24" s="77">
        <v>78.48</v>
      </c>
      <c r="AS24" s="77">
        <v>79</v>
      </c>
      <c r="AT24" s="77">
        <v>79.18</v>
      </c>
      <c r="AU24" s="77">
        <v>78.84</v>
      </c>
      <c r="AV24" s="77">
        <v>78.98</v>
      </c>
      <c r="AW24" s="77">
        <v>79.06</v>
      </c>
      <c r="AX24" s="77">
        <v>81.2</v>
      </c>
      <c r="AY24" s="77">
        <v>82.5</v>
      </c>
    </row>
    <row r="25" spans="1:51">
      <c r="A25" s="14" t="s">
        <v>58</v>
      </c>
      <c r="B25" s="15" t="s">
        <v>59</v>
      </c>
      <c r="C25" s="16">
        <v>0.0136</v>
      </c>
      <c r="D25" s="16">
        <v>0.0253958230302866</v>
      </c>
      <c r="E25" s="49">
        <f t="shared" si="2"/>
        <v>253958.230302866</v>
      </c>
      <c r="F25" s="50">
        <f t="shared" si="0"/>
        <v>7882</v>
      </c>
      <c r="G25" s="51">
        <v>32.22</v>
      </c>
      <c r="H25" s="52">
        <v>32.6</v>
      </c>
      <c r="I25" s="52">
        <v>32.19</v>
      </c>
      <c r="J25" s="52">
        <v>32.17</v>
      </c>
      <c r="K25" s="52">
        <v>32.05</v>
      </c>
      <c r="L25" s="52">
        <v>31.97</v>
      </c>
      <c r="M25" s="52">
        <v>32.21</v>
      </c>
      <c r="N25" s="52">
        <v>32.21</v>
      </c>
      <c r="O25" s="77">
        <v>32.39</v>
      </c>
      <c r="P25" s="77">
        <v>32.1</v>
      </c>
      <c r="Q25" s="77">
        <v>32.54</v>
      </c>
      <c r="R25" s="77">
        <v>32.15</v>
      </c>
      <c r="S25" s="77">
        <v>31.07</v>
      </c>
      <c r="T25" s="77">
        <v>31.38</v>
      </c>
      <c r="U25" s="77">
        <v>31.5</v>
      </c>
      <c r="V25" s="77">
        <v>31.2</v>
      </c>
      <c r="W25" s="77">
        <v>31.26</v>
      </c>
      <c r="X25" s="77">
        <v>30.97</v>
      </c>
      <c r="Y25" s="77">
        <v>30.86</v>
      </c>
      <c r="Z25" s="77">
        <v>30.9</v>
      </c>
      <c r="AA25" s="16">
        <v>0.020054785632478</v>
      </c>
      <c r="AB25" s="49">
        <f t="shared" si="3"/>
        <v>200547.85632478</v>
      </c>
      <c r="AC25" s="50">
        <f t="shared" si="1"/>
        <v>6409</v>
      </c>
      <c r="AD25" s="77">
        <v>30.71</v>
      </c>
      <c r="AE25" s="77">
        <v>31.29</v>
      </c>
      <c r="AF25" s="77">
        <v>31.43</v>
      </c>
      <c r="AG25" s="77">
        <v>31.34</v>
      </c>
      <c r="AH25" s="77">
        <v>31.66</v>
      </c>
      <c r="AI25" s="77">
        <v>31.91</v>
      </c>
      <c r="AJ25" s="77">
        <v>31.9</v>
      </c>
      <c r="AK25" s="77">
        <v>32.23</v>
      </c>
      <c r="AL25" s="77">
        <v>32.12</v>
      </c>
      <c r="AM25" s="77">
        <v>32.85</v>
      </c>
      <c r="AN25" s="77">
        <v>32.77</v>
      </c>
      <c r="AO25" s="77">
        <v>32.53</v>
      </c>
      <c r="AP25" s="77">
        <v>32.55</v>
      </c>
      <c r="AQ25" s="77">
        <v>31.93</v>
      </c>
      <c r="AR25" s="77">
        <v>31.5</v>
      </c>
      <c r="AS25" s="77">
        <v>31.15</v>
      </c>
      <c r="AT25" s="77">
        <v>31.19</v>
      </c>
      <c r="AU25" s="77">
        <v>30.93</v>
      </c>
      <c r="AV25" s="77">
        <v>30.79</v>
      </c>
      <c r="AW25" s="77">
        <v>30.9</v>
      </c>
      <c r="AX25" s="77">
        <v>30.65</v>
      </c>
      <c r="AY25" s="77">
        <v>30.74</v>
      </c>
    </row>
    <row r="26" spans="1:51">
      <c r="A26" s="14" t="s">
        <v>60</v>
      </c>
      <c r="B26" s="15" t="s">
        <v>61</v>
      </c>
      <c r="C26" s="16">
        <v>0.0134</v>
      </c>
      <c r="D26" s="16">
        <v>0.0255448978161522</v>
      </c>
      <c r="E26" s="49">
        <f t="shared" si="2"/>
        <v>255448.978161522</v>
      </c>
      <c r="F26" s="50">
        <f t="shared" si="0"/>
        <v>8060</v>
      </c>
      <c r="G26" s="51">
        <v>31.69</v>
      </c>
      <c r="H26" s="52">
        <v>32.15</v>
      </c>
      <c r="I26" s="52">
        <v>31.68</v>
      </c>
      <c r="J26" s="52">
        <v>31.54</v>
      </c>
      <c r="K26" s="52">
        <v>31.82</v>
      </c>
      <c r="L26" s="52">
        <v>31.69</v>
      </c>
      <c r="M26" s="52">
        <v>32.3</v>
      </c>
      <c r="N26" s="52">
        <v>32.02</v>
      </c>
      <c r="O26" s="77">
        <v>32</v>
      </c>
      <c r="P26" s="77">
        <v>31.85</v>
      </c>
      <c r="Q26" s="77">
        <v>31.99</v>
      </c>
      <c r="R26" s="77">
        <v>29.31</v>
      </c>
      <c r="S26" s="77">
        <v>29.78</v>
      </c>
      <c r="T26" s="77">
        <v>29.68</v>
      </c>
      <c r="U26" s="77">
        <v>29.68</v>
      </c>
      <c r="V26" s="77">
        <v>29.17</v>
      </c>
      <c r="W26" s="77">
        <v>28.89</v>
      </c>
      <c r="X26" s="77">
        <v>27.94</v>
      </c>
      <c r="Y26" s="77">
        <v>27.94</v>
      </c>
      <c r="Z26" s="77">
        <v>27.75</v>
      </c>
      <c r="AA26" s="16">
        <v>0.0285468354883453</v>
      </c>
      <c r="AB26" s="49">
        <f t="shared" si="3"/>
        <v>285468.354883453</v>
      </c>
      <c r="AC26" s="50">
        <f t="shared" si="1"/>
        <v>10350</v>
      </c>
      <c r="AD26" s="77">
        <v>27.52</v>
      </c>
      <c r="AE26" s="77">
        <v>27.58</v>
      </c>
      <c r="AF26" s="77">
        <v>27.51</v>
      </c>
      <c r="AG26" s="77">
        <v>27.17</v>
      </c>
      <c r="AH26" s="77">
        <v>26.51</v>
      </c>
      <c r="AI26" s="77">
        <v>26.77</v>
      </c>
      <c r="AJ26" s="77">
        <v>26.64</v>
      </c>
      <c r="AK26" s="77">
        <v>26.89</v>
      </c>
      <c r="AL26" s="77">
        <v>26.72</v>
      </c>
      <c r="AM26" s="77">
        <v>27</v>
      </c>
      <c r="AN26" s="77">
        <v>27.29</v>
      </c>
      <c r="AO26" s="77">
        <v>26.96</v>
      </c>
      <c r="AP26" s="77">
        <v>27.13</v>
      </c>
      <c r="AQ26" s="77">
        <v>26.79</v>
      </c>
      <c r="AR26" s="77">
        <v>26.45</v>
      </c>
      <c r="AS26" s="77">
        <v>26.84</v>
      </c>
      <c r="AT26" s="77">
        <v>26.99</v>
      </c>
      <c r="AU26" s="77">
        <v>26.6</v>
      </c>
      <c r="AV26" s="77">
        <v>26.62</v>
      </c>
      <c r="AW26" s="77">
        <v>26.33</v>
      </c>
      <c r="AX26" s="77">
        <v>26.57</v>
      </c>
      <c r="AY26" s="77">
        <v>26.74</v>
      </c>
    </row>
    <row r="27" spans="1:51">
      <c r="A27" s="14" t="s">
        <v>62</v>
      </c>
      <c r="B27" s="15" t="s">
        <v>63</v>
      </c>
      <c r="C27" s="16">
        <v>0.0132</v>
      </c>
      <c r="D27" s="16">
        <v>0.0293531961247123</v>
      </c>
      <c r="E27" s="49">
        <f t="shared" si="2"/>
        <v>293531.961247123</v>
      </c>
      <c r="F27" s="50">
        <f t="shared" si="0"/>
        <v>3167</v>
      </c>
      <c r="G27" s="51">
        <v>92.68</v>
      </c>
      <c r="H27" s="52">
        <v>96.08</v>
      </c>
      <c r="I27" s="52">
        <v>94.74</v>
      </c>
      <c r="J27" s="52">
        <v>93.62</v>
      </c>
      <c r="K27" s="52">
        <v>93.24</v>
      </c>
      <c r="L27" s="52">
        <v>92.36</v>
      </c>
      <c r="M27" s="52">
        <v>93</v>
      </c>
      <c r="N27" s="52">
        <v>94.22</v>
      </c>
      <c r="O27" s="77">
        <v>93.46</v>
      </c>
      <c r="P27" s="77">
        <v>95.76</v>
      </c>
      <c r="Q27" s="77">
        <v>95.42</v>
      </c>
      <c r="R27" s="77">
        <v>97.36</v>
      </c>
      <c r="S27" s="77">
        <v>100.05</v>
      </c>
      <c r="T27" s="77">
        <v>96.56</v>
      </c>
      <c r="U27" s="77">
        <v>94.48</v>
      </c>
      <c r="V27" s="77">
        <v>94.22</v>
      </c>
      <c r="W27" s="77">
        <v>90.36</v>
      </c>
      <c r="X27" s="77">
        <v>89.56</v>
      </c>
      <c r="Y27" s="77">
        <v>89.9</v>
      </c>
      <c r="Z27" s="77">
        <v>90.9</v>
      </c>
      <c r="AA27" s="16">
        <v>0.0207523534</v>
      </c>
      <c r="AB27" s="49">
        <f t="shared" si="3"/>
        <v>207523.534</v>
      </c>
      <c r="AC27" s="50">
        <f t="shared" si="1"/>
        <v>2178</v>
      </c>
      <c r="AD27" s="77">
        <v>93.1</v>
      </c>
      <c r="AE27" s="77">
        <v>95.28</v>
      </c>
      <c r="AF27" s="77">
        <v>95.76</v>
      </c>
      <c r="AG27" s="77">
        <v>96.16</v>
      </c>
      <c r="AH27" s="77">
        <v>96.12</v>
      </c>
      <c r="AI27" s="77">
        <v>96.76</v>
      </c>
      <c r="AJ27" s="77">
        <v>96.62</v>
      </c>
      <c r="AK27" s="77">
        <v>98.3</v>
      </c>
      <c r="AL27" s="77">
        <v>97.62</v>
      </c>
      <c r="AM27" s="77">
        <v>100.9</v>
      </c>
      <c r="AN27" s="77">
        <v>103</v>
      </c>
      <c r="AO27" s="77">
        <v>101.15</v>
      </c>
      <c r="AP27" s="77">
        <v>101.85</v>
      </c>
      <c r="AQ27" s="77">
        <v>99.7</v>
      </c>
      <c r="AR27" s="77">
        <v>98.18</v>
      </c>
      <c r="AS27" s="77">
        <v>99.04</v>
      </c>
      <c r="AT27" s="77">
        <v>100.4</v>
      </c>
      <c r="AU27" s="77">
        <v>97.2</v>
      </c>
      <c r="AV27" s="77">
        <v>98.18</v>
      </c>
      <c r="AW27" s="77">
        <v>98.7</v>
      </c>
      <c r="AX27" s="77">
        <v>99.26</v>
      </c>
      <c r="AY27" s="77">
        <v>96.54</v>
      </c>
    </row>
    <row r="28" spans="1:51">
      <c r="A28" s="14" t="s">
        <v>64</v>
      </c>
      <c r="B28" s="15" t="s">
        <v>65</v>
      </c>
      <c r="C28" s="16">
        <v>0.0119</v>
      </c>
      <c r="D28" s="16">
        <v>0.0178580704986733</v>
      </c>
      <c r="E28" s="49">
        <f t="shared" si="2"/>
        <v>178580.704986733</v>
      </c>
      <c r="F28" s="50">
        <f t="shared" si="0"/>
        <v>3434</v>
      </c>
      <c r="G28" s="51">
        <v>52</v>
      </c>
      <c r="H28" s="52">
        <v>50.62</v>
      </c>
      <c r="I28" s="52">
        <v>50.06</v>
      </c>
      <c r="J28" s="52">
        <v>50.32</v>
      </c>
      <c r="K28" s="52">
        <v>49.29</v>
      </c>
      <c r="L28" s="52">
        <v>49.06</v>
      </c>
      <c r="M28" s="52">
        <v>49.64</v>
      </c>
      <c r="N28" s="52">
        <v>49.85</v>
      </c>
      <c r="O28" s="77">
        <v>50.18</v>
      </c>
      <c r="P28" s="77">
        <v>49.44</v>
      </c>
      <c r="Q28" s="77">
        <v>50.16</v>
      </c>
      <c r="R28" s="77">
        <v>51.04</v>
      </c>
      <c r="S28" s="77">
        <v>50.92</v>
      </c>
      <c r="T28" s="77">
        <v>50.82</v>
      </c>
      <c r="U28" s="77">
        <v>51.66</v>
      </c>
      <c r="V28" s="77">
        <v>52.36</v>
      </c>
      <c r="W28" s="77">
        <v>55.96</v>
      </c>
      <c r="X28" s="77">
        <v>53.98</v>
      </c>
      <c r="Y28" s="77">
        <v>54.8</v>
      </c>
      <c r="Z28" s="77">
        <v>55</v>
      </c>
      <c r="AA28" s="16">
        <v>0.014563143438543</v>
      </c>
      <c r="AB28" s="49">
        <f t="shared" si="3"/>
        <v>145631.43438543</v>
      </c>
      <c r="AC28" s="50">
        <f t="shared" si="1"/>
        <v>2571</v>
      </c>
      <c r="AD28" s="77">
        <v>55.58</v>
      </c>
      <c r="AE28" s="77">
        <v>56.64</v>
      </c>
      <c r="AF28" s="77">
        <v>57.56</v>
      </c>
      <c r="AG28" s="77">
        <v>57.58</v>
      </c>
      <c r="AH28" s="77">
        <v>58.36</v>
      </c>
      <c r="AI28" s="77">
        <v>57.72</v>
      </c>
      <c r="AJ28" s="77">
        <v>58.5</v>
      </c>
      <c r="AK28" s="77">
        <v>58.78</v>
      </c>
      <c r="AL28" s="77">
        <v>57.76</v>
      </c>
      <c r="AM28" s="77">
        <v>58.32</v>
      </c>
      <c r="AN28" s="77">
        <v>57.42</v>
      </c>
      <c r="AO28" s="77">
        <v>57.86</v>
      </c>
      <c r="AP28" s="77">
        <v>57.84</v>
      </c>
      <c r="AQ28" s="77">
        <v>55.82</v>
      </c>
      <c r="AR28" s="77">
        <v>52</v>
      </c>
      <c r="AS28" s="77">
        <v>52</v>
      </c>
      <c r="AT28" s="77">
        <v>52.3</v>
      </c>
      <c r="AU28" s="77">
        <v>52.72</v>
      </c>
      <c r="AV28" s="77">
        <v>53.2</v>
      </c>
      <c r="AW28" s="77">
        <v>52.5</v>
      </c>
      <c r="AX28" s="77">
        <v>52.82</v>
      </c>
      <c r="AY28" s="77">
        <v>54.08</v>
      </c>
    </row>
    <row r="29" spans="1:51">
      <c r="A29" s="14" t="s">
        <v>66</v>
      </c>
      <c r="B29" s="15" t="s">
        <v>67</v>
      </c>
      <c r="C29" s="16">
        <v>0.0112</v>
      </c>
      <c r="D29" s="16">
        <v>0.0233210695942832</v>
      </c>
      <c r="E29" s="49">
        <f t="shared" si="2"/>
        <v>233210.695942832</v>
      </c>
      <c r="F29" s="50">
        <f t="shared" si="0"/>
        <v>7618</v>
      </c>
      <c r="G29" s="51">
        <v>30.61</v>
      </c>
      <c r="H29" s="52">
        <v>30.69</v>
      </c>
      <c r="I29" s="52">
        <v>30.8</v>
      </c>
      <c r="J29" s="52">
        <v>30.96</v>
      </c>
      <c r="K29" s="52">
        <v>30.24</v>
      </c>
      <c r="L29" s="52">
        <v>30.19</v>
      </c>
      <c r="M29" s="52">
        <v>29.95</v>
      </c>
      <c r="N29" s="52">
        <v>30.27</v>
      </c>
      <c r="O29" s="77">
        <v>30.62</v>
      </c>
      <c r="P29" s="77">
        <v>30.94</v>
      </c>
      <c r="Q29" s="77">
        <v>30.62</v>
      </c>
      <c r="R29" s="77">
        <v>30.7</v>
      </c>
      <c r="S29" s="77">
        <v>30.71</v>
      </c>
      <c r="T29" s="77">
        <v>30.43</v>
      </c>
      <c r="U29" s="77">
        <v>30.56</v>
      </c>
      <c r="V29" s="77">
        <v>30.24</v>
      </c>
      <c r="W29" s="77">
        <v>29.7</v>
      </c>
      <c r="X29" s="77">
        <v>29.29</v>
      </c>
      <c r="Y29" s="77">
        <v>29.55</v>
      </c>
      <c r="Z29" s="77">
        <v>29.54</v>
      </c>
      <c r="AA29" s="16">
        <v>0.0155705244045</v>
      </c>
      <c r="AB29" s="49">
        <f t="shared" si="3"/>
        <v>155705.244045</v>
      </c>
      <c r="AC29" s="50">
        <f t="shared" si="1"/>
        <v>5179</v>
      </c>
      <c r="AD29" s="77">
        <v>29.66</v>
      </c>
      <c r="AE29" s="77">
        <v>30.06</v>
      </c>
      <c r="AF29" s="77">
        <v>29.95</v>
      </c>
      <c r="AG29" s="77">
        <v>29.91</v>
      </c>
      <c r="AH29" s="77">
        <v>29.83</v>
      </c>
      <c r="AI29" s="77">
        <v>29.88</v>
      </c>
      <c r="AJ29" s="77">
        <v>30.55</v>
      </c>
      <c r="AK29" s="77">
        <v>30.85</v>
      </c>
      <c r="AL29" s="77">
        <v>30.16</v>
      </c>
      <c r="AM29" s="77">
        <v>30.56</v>
      </c>
      <c r="AN29" s="77">
        <v>30.66</v>
      </c>
      <c r="AO29" s="77">
        <v>30.39</v>
      </c>
      <c r="AP29" s="77">
        <v>30.37</v>
      </c>
      <c r="AQ29" s="77">
        <v>29.21</v>
      </c>
      <c r="AR29" s="77">
        <v>28.67</v>
      </c>
      <c r="AS29" s="77">
        <v>28.34</v>
      </c>
      <c r="AT29" s="77">
        <v>28.3</v>
      </c>
      <c r="AU29" s="77">
        <v>28.21</v>
      </c>
      <c r="AV29" s="77">
        <v>27.89</v>
      </c>
      <c r="AW29" s="77">
        <v>27.57</v>
      </c>
      <c r="AX29" s="77">
        <v>28.01</v>
      </c>
      <c r="AY29" s="77">
        <v>28.42</v>
      </c>
    </row>
    <row r="30" spans="1:51">
      <c r="A30" s="14" t="s">
        <v>68</v>
      </c>
      <c r="B30" s="15" t="s">
        <v>69</v>
      </c>
      <c r="C30" s="16">
        <v>0.0107</v>
      </c>
      <c r="D30" s="16">
        <v>0.0439148162332005</v>
      </c>
      <c r="E30" s="49">
        <f t="shared" si="2"/>
        <v>439148.162332005</v>
      </c>
      <c r="F30" s="50">
        <f t="shared" si="0"/>
        <v>33509</v>
      </c>
      <c r="G30" s="51">
        <v>13.105</v>
      </c>
      <c r="H30" s="52">
        <v>12.97</v>
      </c>
      <c r="I30" s="52">
        <v>12.99</v>
      </c>
      <c r="J30" s="52">
        <v>13.215</v>
      </c>
      <c r="K30" s="52">
        <v>13.07</v>
      </c>
      <c r="L30" s="52">
        <v>13.17</v>
      </c>
      <c r="M30" s="52">
        <v>13.18</v>
      </c>
      <c r="N30" s="52">
        <v>13.19</v>
      </c>
      <c r="O30" s="77">
        <v>13.065</v>
      </c>
      <c r="P30" s="77">
        <v>13.22</v>
      </c>
      <c r="Q30" s="77">
        <v>13.115</v>
      </c>
      <c r="R30" s="77">
        <v>13.3</v>
      </c>
      <c r="S30" s="77">
        <v>13.32</v>
      </c>
      <c r="T30" s="77">
        <v>13.045</v>
      </c>
      <c r="U30" s="77">
        <v>13.315</v>
      </c>
      <c r="V30" s="77">
        <v>13.33</v>
      </c>
      <c r="W30" s="77">
        <v>13.345</v>
      </c>
      <c r="X30" s="77">
        <v>13.825</v>
      </c>
      <c r="Y30" s="77">
        <v>13.735</v>
      </c>
      <c r="Z30" s="77">
        <v>13.775</v>
      </c>
      <c r="AA30" s="16">
        <v>0.0347583754242824</v>
      </c>
      <c r="AB30" s="49">
        <f t="shared" si="3"/>
        <v>347583.754242824</v>
      </c>
      <c r="AC30" s="50">
        <f t="shared" si="1"/>
        <v>25168</v>
      </c>
      <c r="AD30" s="77">
        <v>13.89</v>
      </c>
      <c r="AE30" s="77">
        <v>13.81</v>
      </c>
      <c r="AF30" s="77">
        <v>13.93</v>
      </c>
      <c r="AG30" s="77">
        <v>14.15</v>
      </c>
      <c r="AH30" s="77">
        <v>14.1</v>
      </c>
      <c r="AI30" s="77">
        <v>14.3</v>
      </c>
      <c r="AJ30" s="77">
        <v>14.41</v>
      </c>
      <c r="AK30" s="77">
        <v>14.44</v>
      </c>
      <c r="AL30" s="77">
        <v>14.485</v>
      </c>
      <c r="AM30" s="77">
        <v>14.385</v>
      </c>
      <c r="AN30" s="77">
        <v>14.485</v>
      </c>
      <c r="AO30" s="77">
        <v>14.46</v>
      </c>
      <c r="AP30" s="77">
        <v>14.48</v>
      </c>
      <c r="AQ30" s="77">
        <v>14.215</v>
      </c>
      <c r="AR30" s="77">
        <v>13.875</v>
      </c>
      <c r="AS30" s="77">
        <v>13.86</v>
      </c>
      <c r="AT30" s="77">
        <v>13.735</v>
      </c>
      <c r="AU30" s="77">
        <v>13.9</v>
      </c>
      <c r="AV30" s="77">
        <v>13.89</v>
      </c>
      <c r="AW30" s="77">
        <v>13.785</v>
      </c>
      <c r="AX30" s="77">
        <v>13.525</v>
      </c>
      <c r="AY30" s="77">
        <v>13.715</v>
      </c>
    </row>
    <row r="31" spans="1:51">
      <c r="A31" s="14" t="s">
        <v>70</v>
      </c>
      <c r="B31" s="15" t="s">
        <v>71</v>
      </c>
      <c r="C31" s="16">
        <v>0.0106</v>
      </c>
      <c r="D31" s="16">
        <v>0.0155237831504658</v>
      </c>
      <c r="E31" s="49">
        <f t="shared" si="2"/>
        <v>155237.831504658</v>
      </c>
      <c r="F31" s="50">
        <f t="shared" si="0"/>
        <v>776</v>
      </c>
      <c r="G31" s="51">
        <v>199.8</v>
      </c>
      <c r="H31" s="52">
        <v>206.4</v>
      </c>
      <c r="I31" s="52">
        <v>198.68</v>
      </c>
      <c r="J31" s="52">
        <v>196.98</v>
      </c>
      <c r="K31" s="52">
        <v>196.66</v>
      </c>
      <c r="L31" s="52">
        <v>192.2</v>
      </c>
      <c r="M31" s="52">
        <v>192.4</v>
      </c>
      <c r="N31" s="52">
        <v>197.34</v>
      </c>
      <c r="O31" s="77">
        <v>197.34</v>
      </c>
      <c r="P31" s="77">
        <v>202.6</v>
      </c>
      <c r="Q31" s="77">
        <v>212.6</v>
      </c>
      <c r="R31" s="77">
        <v>212.4</v>
      </c>
      <c r="S31" s="77">
        <v>221.8</v>
      </c>
      <c r="T31" s="77">
        <v>215.9</v>
      </c>
      <c r="U31" s="77">
        <v>212.45</v>
      </c>
      <c r="V31" s="77">
        <v>215.9</v>
      </c>
      <c r="W31" s="77">
        <v>216.5</v>
      </c>
      <c r="X31" s="77">
        <v>216.15</v>
      </c>
      <c r="Y31" s="77">
        <v>215.05</v>
      </c>
      <c r="Z31" s="77">
        <v>211.4</v>
      </c>
      <c r="AA31" s="16">
        <v>0.0102755830470753</v>
      </c>
      <c r="AB31" s="49">
        <f t="shared" si="3"/>
        <v>102755.830470753</v>
      </c>
      <c r="AC31" s="50">
        <f t="shared" si="1"/>
        <v>482</v>
      </c>
      <c r="AD31" s="77">
        <v>209.25</v>
      </c>
      <c r="AE31" s="77">
        <v>213.1</v>
      </c>
      <c r="AF31" s="77">
        <v>215.65</v>
      </c>
      <c r="AG31" s="77">
        <v>213.1</v>
      </c>
      <c r="AH31" s="77">
        <v>213.35</v>
      </c>
      <c r="AI31" s="77">
        <v>217.35</v>
      </c>
      <c r="AJ31" s="77">
        <v>211.75</v>
      </c>
      <c r="AK31" s="77">
        <v>211.65</v>
      </c>
      <c r="AL31" s="77">
        <v>210.25</v>
      </c>
      <c r="AM31" s="77">
        <v>216.5</v>
      </c>
      <c r="AN31" s="77">
        <v>221.65</v>
      </c>
      <c r="AO31" s="77">
        <v>218.35</v>
      </c>
      <c r="AP31" s="77">
        <v>223.8</v>
      </c>
      <c r="AQ31" s="77">
        <v>224.25</v>
      </c>
      <c r="AR31" s="77">
        <v>225.45</v>
      </c>
      <c r="AS31" s="77">
        <v>229.5</v>
      </c>
      <c r="AT31" s="77">
        <v>235</v>
      </c>
      <c r="AU31" s="77">
        <v>229.15</v>
      </c>
      <c r="AV31" s="77">
        <v>229.8</v>
      </c>
      <c r="AW31" s="77">
        <v>238.6</v>
      </c>
      <c r="AX31" s="77">
        <v>236.45</v>
      </c>
      <c r="AY31" s="77">
        <v>232.65</v>
      </c>
    </row>
    <row r="32" spans="1:51">
      <c r="A32" s="14" t="s">
        <v>72</v>
      </c>
      <c r="B32" s="15" t="s">
        <v>73</v>
      </c>
      <c r="C32" s="16">
        <v>0.0093</v>
      </c>
      <c r="D32" s="16">
        <v>0.018208632062301</v>
      </c>
      <c r="E32" s="49">
        <f t="shared" si="2"/>
        <v>182086.32062301</v>
      </c>
      <c r="F32" s="50">
        <f t="shared" si="0"/>
        <v>6721</v>
      </c>
      <c r="G32" s="51">
        <v>27.09</v>
      </c>
      <c r="H32" s="52">
        <v>28.265</v>
      </c>
      <c r="I32" s="52">
        <v>27.66</v>
      </c>
      <c r="J32" s="52">
        <v>27.255</v>
      </c>
      <c r="K32" s="52">
        <v>27.42</v>
      </c>
      <c r="L32" s="52">
        <v>26.875</v>
      </c>
      <c r="M32" s="52">
        <v>27.655</v>
      </c>
      <c r="N32" s="52">
        <v>27.98</v>
      </c>
      <c r="O32" s="77">
        <v>28.405</v>
      </c>
      <c r="P32" s="77">
        <v>28.16</v>
      </c>
      <c r="Q32" s="77">
        <v>26.98</v>
      </c>
      <c r="R32" s="77">
        <v>22.495</v>
      </c>
      <c r="S32" s="77">
        <v>22.245</v>
      </c>
      <c r="T32" s="77">
        <v>22.855</v>
      </c>
      <c r="U32" s="77">
        <v>22.94</v>
      </c>
      <c r="V32" s="77">
        <v>22.96</v>
      </c>
      <c r="W32" s="77">
        <v>22.455</v>
      </c>
      <c r="X32" s="77">
        <v>21.695</v>
      </c>
      <c r="Y32" s="77">
        <v>21.765</v>
      </c>
      <c r="Z32" s="77">
        <v>21.605</v>
      </c>
      <c r="AA32" s="16">
        <v>0.010780230473913</v>
      </c>
      <c r="AB32" s="49">
        <f t="shared" si="3"/>
        <v>107802.30473913</v>
      </c>
      <c r="AC32" s="50">
        <f t="shared" si="1"/>
        <v>5046</v>
      </c>
      <c r="AD32" s="77">
        <v>21.3</v>
      </c>
      <c r="AE32" s="77">
        <v>21.36</v>
      </c>
      <c r="AF32" s="77">
        <v>21.765</v>
      </c>
      <c r="AG32" s="77">
        <v>21.515</v>
      </c>
      <c r="AH32" s="77">
        <v>22.415</v>
      </c>
      <c r="AI32" s="77">
        <v>22.19</v>
      </c>
      <c r="AJ32" s="77">
        <v>22.11</v>
      </c>
      <c r="AK32" s="77">
        <v>22.035</v>
      </c>
      <c r="AL32" s="77">
        <v>22.225</v>
      </c>
      <c r="AM32" s="77">
        <v>22.325</v>
      </c>
      <c r="AN32" s="77">
        <v>22.135</v>
      </c>
      <c r="AO32" s="77">
        <v>22.375</v>
      </c>
      <c r="AP32" s="77">
        <v>23.435</v>
      </c>
      <c r="AQ32" s="77">
        <v>23.53</v>
      </c>
      <c r="AR32" s="77">
        <v>23.36</v>
      </c>
      <c r="AS32" s="77">
        <v>23.25</v>
      </c>
      <c r="AT32" s="77">
        <v>23.785</v>
      </c>
      <c r="AU32" s="77">
        <v>23.25</v>
      </c>
      <c r="AV32" s="77">
        <v>23.06</v>
      </c>
      <c r="AW32" s="77">
        <v>22.185</v>
      </c>
      <c r="AX32" s="77">
        <v>21.795</v>
      </c>
      <c r="AY32" s="77">
        <v>21.97</v>
      </c>
    </row>
    <row r="33" spans="1:51">
      <c r="A33" s="14" t="s">
        <v>74</v>
      </c>
      <c r="B33" s="15" t="s">
        <v>75</v>
      </c>
      <c r="C33" s="16">
        <v>0.0087</v>
      </c>
      <c r="D33" s="16">
        <v>0.0283136595195099</v>
      </c>
      <c r="E33" s="49">
        <f t="shared" si="2"/>
        <v>283136.595195099</v>
      </c>
      <c r="F33" s="50">
        <f t="shared" si="0"/>
        <v>1142</v>
      </c>
      <c r="G33" s="51">
        <v>247.9</v>
      </c>
      <c r="H33" s="52">
        <v>246.3</v>
      </c>
      <c r="I33" s="52">
        <v>251</v>
      </c>
      <c r="J33" s="52">
        <v>254.6</v>
      </c>
      <c r="K33" s="52">
        <v>248</v>
      </c>
      <c r="L33" s="52">
        <v>246.5</v>
      </c>
      <c r="M33" s="52">
        <v>248.8</v>
      </c>
      <c r="N33" s="52">
        <v>250.5</v>
      </c>
      <c r="O33" s="77">
        <v>246.5</v>
      </c>
      <c r="P33" s="77">
        <v>243.8</v>
      </c>
      <c r="Q33" s="77">
        <v>238</v>
      </c>
      <c r="R33" s="77">
        <v>238.2</v>
      </c>
      <c r="S33" s="77">
        <v>240.1</v>
      </c>
      <c r="T33" s="77">
        <v>229.7</v>
      </c>
      <c r="U33" s="77">
        <v>235.9</v>
      </c>
      <c r="V33" s="77">
        <v>235.1</v>
      </c>
      <c r="W33" s="77">
        <v>235.8</v>
      </c>
      <c r="X33" s="77">
        <v>235.5</v>
      </c>
      <c r="Y33" s="77">
        <v>236.5</v>
      </c>
      <c r="Z33" s="77">
        <v>236.9</v>
      </c>
      <c r="AA33" s="16">
        <v>0.024520078207475</v>
      </c>
      <c r="AB33" s="49">
        <f t="shared" si="3"/>
        <v>245200.78207475</v>
      </c>
      <c r="AC33" s="50">
        <f t="shared" si="1"/>
        <v>1060</v>
      </c>
      <c r="AD33" s="77">
        <v>238.5</v>
      </c>
      <c r="AE33" s="77">
        <v>231.2</v>
      </c>
      <c r="AF33" s="77">
        <v>229</v>
      </c>
      <c r="AG33" s="77">
        <v>228.3</v>
      </c>
      <c r="AH33" s="77">
        <v>230.8</v>
      </c>
      <c r="AI33" s="77">
        <v>231.6</v>
      </c>
      <c r="AJ33" s="77">
        <v>237.5</v>
      </c>
      <c r="AK33" s="77">
        <v>235.4</v>
      </c>
      <c r="AL33" s="77">
        <v>238.6</v>
      </c>
      <c r="AM33" s="77">
        <v>228.8</v>
      </c>
      <c r="AN33" s="77">
        <v>229.4</v>
      </c>
      <c r="AO33" s="77">
        <v>231.3</v>
      </c>
      <c r="AP33" s="77">
        <v>232.3</v>
      </c>
      <c r="AQ33" s="77">
        <v>232.4</v>
      </c>
      <c r="AR33" s="77">
        <v>225.2</v>
      </c>
      <c r="AS33" s="77">
        <v>227.2</v>
      </c>
      <c r="AT33" s="77">
        <v>226</v>
      </c>
      <c r="AU33" s="77">
        <v>225.2</v>
      </c>
      <c r="AV33" s="77">
        <v>224.2</v>
      </c>
      <c r="AW33" s="77">
        <v>220.2</v>
      </c>
      <c r="AX33" s="77">
        <v>223.8</v>
      </c>
      <c r="AY33" s="77">
        <v>222.1</v>
      </c>
    </row>
    <row r="34" spans="1:51">
      <c r="A34" s="14" t="s">
        <v>76</v>
      </c>
      <c r="B34" s="15" t="s">
        <v>77</v>
      </c>
      <c r="C34" s="16">
        <v>0.0072</v>
      </c>
      <c r="D34" s="16">
        <v>0.0219806778574091</v>
      </c>
      <c r="E34" s="49">
        <f t="shared" si="2"/>
        <v>219806.778574091</v>
      </c>
      <c r="F34" s="50">
        <f t="shared" si="0"/>
        <v>13402</v>
      </c>
      <c r="G34" s="51">
        <v>16.4</v>
      </c>
      <c r="H34" s="52">
        <v>16.25</v>
      </c>
      <c r="I34" s="52">
        <v>16</v>
      </c>
      <c r="J34" s="52">
        <v>16.035</v>
      </c>
      <c r="K34" s="52">
        <v>15.865</v>
      </c>
      <c r="L34" s="52">
        <v>15.84</v>
      </c>
      <c r="M34" s="52">
        <v>15.98</v>
      </c>
      <c r="N34" s="52">
        <v>16.095</v>
      </c>
      <c r="O34" s="77">
        <v>16.145</v>
      </c>
      <c r="P34" s="77">
        <v>16.065</v>
      </c>
      <c r="Q34" s="77">
        <v>16.09</v>
      </c>
      <c r="R34" s="77">
        <v>16.43</v>
      </c>
      <c r="S34" s="77">
        <v>16.32</v>
      </c>
      <c r="T34" s="77">
        <v>16.19</v>
      </c>
      <c r="U34" s="77">
        <v>16.215</v>
      </c>
      <c r="V34" s="77">
        <v>16.405</v>
      </c>
      <c r="W34" s="77">
        <v>16.15</v>
      </c>
      <c r="X34" s="77">
        <v>15.92</v>
      </c>
      <c r="Y34" s="77">
        <v>16.055</v>
      </c>
      <c r="Z34" s="77">
        <v>16.08</v>
      </c>
      <c r="AA34" s="16">
        <v>0.022848446247733</v>
      </c>
      <c r="AB34" s="49">
        <f t="shared" si="3"/>
        <v>228484.46247733</v>
      </c>
      <c r="AC34" s="50">
        <f t="shared" si="1"/>
        <v>13936</v>
      </c>
      <c r="AD34" s="77">
        <v>16.28</v>
      </c>
      <c r="AE34" s="77">
        <v>16.395</v>
      </c>
      <c r="AF34" s="77">
        <v>16.92</v>
      </c>
      <c r="AG34" s="77">
        <v>17.045</v>
      </c>
      <c r="AH34" s="77">
        <v>17</v>
      </c>
      <c r="AI34" s="77">
        <v>17.03</v>
      </c>
      <c r="AJ34" s="77">
        <v>17.135</v>
      </c>
      <c r="AK34" s="77">
        <v>17.11</v>
      </c>
      <c r="AL34" s="77">
        <v>16.79</v>
      </c>
      <c r="AM34" s="77">
        <v>16.95</v>
      </c>
      <c r="AN34" s="77">
        <v>17.1</v>
      </c>
      <c r="AO34" s="77">
        <v>16.97</v>
      </c>
      <c r="AP34" s="77">
        <v>17.055</v>
      </c>
      <c r="AQ34" s="77">
        <v>16.55</v>
      </c>
      <c r="AR34" s="77">
        <v>15.65</v>
      </c>
      <c r="AS34" s="77">
        <v>15.56</v>
      </c>
      <c r="AT34" s="77">
        <v>15.69</v>
      </c>
      <c r="AU34" s="77">
        <v>15.63</v>
      </c>
      <c r="AV34" s="77">
        <v>15.62</v>
      </c>
      <c r="AW34" s="77">
        <v>15.405</v>
      </c>
      <c r="AX34" s="77">
        <v>15.515</v>
      </c>
      <c r="AY34" s="77">
        <v>15.88</v>
      </c>
    </row>
    <row r="35" spans="1:51">
      <c r="A35" s="14" t="s">
        <v>78</v>
      </c>
      <c r="B35" s="15" t="s">
        <v>79</v>
      </c>
      <c r="C35" s="16">
        <v>0.006</v>
      </c>
      <c r="D35" s="16">
        <v>0.0281249945761927</v>
      </c>
      <c r="E35" s="49">
        <f t="shared" si="2"/>
        <v>281249.945761927</v>
      </c>
      <c r="F35" s="50">
        <f t="shared" si="0"/>
        <v>10080</v>
      </c>
      <c r="G35" s="51">
        <v>27.9</v>
      </c>
      <c r="H35" s="52">
        <v>28.18</v>
      </c>
      <c r="I35" s="52">
        <v>28.04</v>
      </c>
      <c r="J35" s="52">
        <v>27.94</v>
      </c>
      <c r="K35" s="52">
        <v>27.82</v>
      </c>
      <c r="L35" s="52">
        <v>27.88</v>
      </c>
      <c r="M35" s="52">
        <v>27.76</v>
      </c>
      <c r="N35" s="52">
        <v>27.94</v>
      </c>
      <c r="O35" s="77">
        <v>27.9</v>
      </c>
      <c r="P35" s="77">
        <v>27.74</v>
      </c>
      <c r="Q35" s="77">
        <v>27.76</v>
      </c>
      <c r="R35" s="77">
        <v>28.12</v>
      </c>
      <c r="S35" s="77">
        <v>27.66</v>
      </c>
      <c r="T35" s="77">
        <v>27.3</v>
      </c>
      <c r="U35" s="77">
        <v>27.12</v>
      </c>
      <c r="V35" s="77">
        <v>27</v>
      </c>
      <c r="W35" s="77">
        <v>27.04</v>
      </c>
      <c r="X35" s="77">
        <v>26.44</v>
      </c>
      <c r="Y35" s="77">
        <v>26.68</v>
      </c>
      <c r="Z35" s="77">
        <v>26.84</v>
      </c>
      <c r="AA35" s="16">
        <v>0.020171757827831</v>
      </c>
      <c r="AB35" s="49">
        <f t="shared" si="3"/>
        <v>201717.57827831</v>
      </c>
      <c r="AC35" s="50">
        <f t="shared" si="1"/>
        <v>7487</v>
      </c>
      <c r="AD35" s="77">
        <v>26.62</v>
      </c>
      <c r="AE35" s="77">
        <v>26.94</v>
      </c>
      <c r="AF35" s="77">
        <v>26.66</v>
      </c>
      <c r="AG35" s="77">
        <v>26.56</v>
      </c>
      <c r="AH35" s="77">
        <v>26.64</v>
      </c>
      <c r="AI35" s="77">
        <v>26.76</v>
      </c>
      <c r="AJ35" s="77">
        <v>26.84</v>
      </c>
      <c r="AK35" s="77">
        <v>26.82</v>
      </c>
      <c r="AL35" s="77">
        <v>26.68</v>
      </c>
      <c r="AM35" s="77">
        <v>26.96</v>
      </c>
      <c r="AN35" s="77">
        <v>27.48</v>
      </c>
      <c r="AO35" s="77">
        <v>27.02</v>
      </c>
      <c r="AP35" s="77">
        <v>27.22</v>
      </c>
      <c r="AQ35" s="77">
        <v>26.56</v>
      </c>
      <c r="AR35" s="77">
        <v>26.14</v>
      </c>
      <c r="AS35" s="77">
        <v>26.06</v>
      </c>
      <c r="AT35" s="77">
        <v>25.92</v>
      </c>
      <c r="AU35" s="77">
        <v>25.76</v>
      </c>
      <c r="AV35" s="77">
        <v>25.68</v>
      </c>
      <c r="AW35" s="77">
        <v>25.58</v>
      </c>
      <c r="AX35" s="77">
        <v>25.78</v>
      </c>
      <c r="AY35" s="77">
        <v>26.08</v>
      </c>
    </row>
    <row r="36" spans="1:51">
      <c r="A36" s="14" t="s">
        <v>80</v>
      </c>
      <c r="B36" s="15" t="s">
        <v>81</v>
      </c>
      <c r="C36" s="16">
        <v>0.0058</v>
      </c>
      <c r="D36" s="16">
        <v>0.0229707828694159</v>
      </c>
      <c r="E36" s="49">
        <f t="shared" si="2"/>
        <v>229707.828694159</v>
      </c>
      <c r="F36" s="50">
        <f t="shared" si="0"/>
        <v>4830</v>
      </c>
      <c r="G36" s="51">
        <v>47.55</v>
      </c>
      <c r="H36" s="52">
        <v>47.45</v>
      </c>
      <c r="I36" s="52">
        <v>47.36</v>
      </c>
      <c r="J36" s="52">
        <v>47.93</v>
      </c>
      <c r="K36" s="52">
        <v>47.69</v>
      </c>
      <c r="L36" s="52">
        <v>47.18</v>
      </c>
      <c r="M36" s="52">
        <v>47.61</v>
      </c>
      <c r="N36" s="52">
        <v>48.22</v>
      </c>
      <c r="O36" s="77">
        <v>48.24</v>
      </c>
      <c r="P36" s="77">
        <v>48.53</v>
      </c>
      <c r="Q36" s="77">
        <v>49.3</v>
      </c>
      <c r="R36" s="77">
        <v>49.23</v>
      </c>
      <c r="S36" s="77">
        <v>49.73</v>
      </c>
      <c r="T36" s="77">
        <v>49.47</v>
      </c>
      <c r="U36" s="77">
        <v>49.18</v>
      </c>
      <c r="V36" s="77">
        <v>49.4</v>
      </c>
      <c r="W36" s="77">
        <v>44.66</v>
      </c>
      <c r="X36" s="77">
        <v>42.28</v>
      </c>
      <c r="Y36" s="77">
        <v>42.57</v>
      </c>
      <c r="Z36" s="77">
        <v>41.92</v>
      </c>
      <c r="AA36" s="16">
        <v>0.0222758754175687</v>
      </c>
      <c r="AB36" s="49">
        <f t="shared" si="3"/>
        <v>222758.754175687</v>
      </c>
      <c r="AC36" s="50">
        <f t="shared" si="1"/>
        <v>4950</v>
      </c>
      <c r="AD36" s="77">
        <v>42.71</v>
      </c>
      <c r="AE36" s="77">
        <v>45</v>
      </c>
      <c r="AF36" s="77">
        <v>45.34</v>
      </c>
      <c r="AG36" s="77">
        <v>44</v>
      </c>
      <c r="AH36" s="77">
        <v>44.27</v>
      </c>
      <c r="AI36" s="77">
        <v>44.29</v>
      </c>
      <c r="AJ36" s="77">
        <v>44.42</v>
      </c>
      <c r="AK36" s="77">
        <v>44.69</v>
      </c>
      <c r="AL36" s="77">
        <v>44.8</v>
      </c>
      <c r="AM36" s="77">
        <v>45.19</v>
      </c>
      <c r="AN36" s="77">
        <v>44.45</v>
      </c>
      <c r="AO36" s="77">
        <v>44.35</v>
      </c>
      <c r="AP36" s="77">
        <v>44.76</v>
      </c>
      <c r="AQ36" s="77">
        <v>43.95</v>
      </c>
      <c r="AR36" s="77">
        <v>43.06</v>
      </c>
      <c r="AS36" s="77">
        <v>42.93</v>
      </c>
      <c r="AT36" s="77">
        <v>42.78</v>
      </c>
      <c r="AU36" s="77">
        <v>42.27</v>
      </c>
      <c r="AV36" s="77">
        <v>41.89</v>
      </c>
      <c r="AW36" s="77">
        <v>41.01</v>
      </c>
      <c r="AX36" s="77">
        <v>40.85</v>
      </c>
      <c r="AY36" s="77">
        <v>41.05</v>
      </c>
    </row>
    <row r="37" spans="1:51">
      <c r="A37" s="14" t="s">
        <v>82</v>
      </c>
      <c r="B37" s="15" t="s">
        <v>83</v>
      </c>
      <c r="C37" s="16">
        <v>0.0058</v>
      </c>
      <c r="D37" s="16">
        <v>0.0216156013804643</v>
      </c>
      <c r="E37" s="49">
        <f t="shared" si="2"/>
        <v>216156.013804643</v>
      </c>
      <c r="F37" s="50">
        <f t="shared" si="0"/>
        <v>5249</v>
      </c>
      <c r="G37" s="51">
        <v>41.18</v>
      </c>
      <c r="H37" s="52">
        <v>41.86</v>
      </c>
      <c r="I37" s="52">
        <v>41.2</v>
      </c>
      <c r="J37" s="52">
        <v>40.84</v>
      </c>
      <c r="K37" s="52">
        <v>41.25</v>
      </c>
      <c r="L37" s="52">
        <v>33.63</v>
      </c>
      <c r="M37" s="52">
        <v>33.4</v>
      </c>
      <c r="N37" s="52">
        <v>33.62</v>
      </c>
      <c r="O37" s="77">
        <v>33.58</v>
      </c>
      <c r="P37" s="77">
        <v>33.06</v>
      </c>
      <c r="Q37" s="77">
        <v>33.95</v>
      </c>
      <c r="R37" s="77">
        <v>33.75</v>
      </c>
      <c r="S37" s="77">
        <v>34.42</v>
      </c>
      <c r="T37" s="77">
        <v>33.96</v>
      </c>
      <c r="U37" s="77">
        <v>34.22</v>
      </c>
      <c r="V37" s="77">
        <v>33.2</v>
      </c>
      <c r="W37" s="77">
        <v>32.71</v>
      </c>
      <c r="X37" s="77">
        <v>32.19</v>
      </c>
      <c r="Y37" s="77">
        <v>31.4</v>
      </c>
      <c r="Z37" s="77">
        <v>31.23</v>
      </c>
      <c r="AA37" s="16">
        <v>0.020974185451</v>
      </c>
      <c r="AB37" s="49">
        <f t="shared" si="3"/>
        <v>209741.85451</v>
      </c>
      <c r="AC37" s="50">
        <f t="shared" si="1"/>
        <v>6606</v>
      </c>
      <c r="AD37" s="77">
        <v>31.14</v>
      </c>
      <c r="AE37" s="77">
        <v>31.75</v>
      </c>
      <c r="AF37" s="77">
        <v>32.43</v>
      </c>
      <c r="AG37" s="77">
        <v>32.37</v>
      </c>
      <c r="AH37" s="77">
        <v>32.46</v>
      </c>
      <c r="AI37" s="77">
        <v>32.76</v>
      </c>
      <c r="AJ37" s="77">
        <v>32.63</v>
      </c>
      <c r="AK37" s="77">
        <v>33.11</v>
      </c>
      <c r="AL37" s="77">
        <v>32.65</v>
      </c>
      <c r="AM37" s="77">
        <v>33.69</v>
      </c>
      <c r="AN37" s="77">
        <v>33.57</v>
      </c>
      <c r="AO37" s="77">
        <v>33.09</v>
      </c>
      <c r="AP37" s="77">
        <v>33.56</v>
      </c>
      <c r="AQ37" s="77">
        <v>33.31</v>
      </c>
      <c r="AR37" s="77">
        <v>33.11</v>
      </c>
      <c r="AS37" s="77">
        <v>32.69</v>
      </c>
      <c r="AT37" s="77">
        <v>33.88</v>
      </c>
      <c r="AU37" s="77">
        <v>33.6</v>
      </c>
      <c r="AV37" s="77">
        <v>34.04</v>
      </c>
      <c r="AW37" s="77">
        <v>33.24</v>
      </c>
      <c r="AX37" s="77">
        <v>32.56</v>
      </c>
      <c r="AY37" s="77">
        <v>32.91</v>
      </c>
    </row>
    <row r="38" spans="1:51">
      <c r="A38" s="14" t="s">
        <v>84</v>
      </c>
      <c r="B38" s="15" t="s">
        <v>85</v>
      </c>
      <c r="C38" s="16">
        <v>0.0057</v>
      </c>
      <c r="D38" s="16">
        <v>0.0208903380359831</v>
      </c>
      <c r="E38" s="49">
        <f t="shared" si="2"/>
        <v>208903.380359831</v>
      </c>
      <c r="F38" s="50">
        <f t="shared" si="0"/>
        <v>7306</v>
      </c>
      <c r="G38" s="51">
        <v>28.59</v>
      </c>
      <c r="H38" s="52">
        <v>29.62</v>
      </c>
      <c r="I38" s="52">
        <v>29.45</v>
      </c>
      <c r="J38" s="52">
        <v>29.1</v>
      </c>
      <c r="K38" s="52">
        <v>28.82</v>
      </c>
      <c r="L38" s="52">
        <v>28</v>
      </c>
      <c r="M38" s="52">
        <v>28.23</v>
      </c>
      <c r="N38" s="52">
        <v>27.98</v>
      </c>
      <c r="O38" s="77">
        <v>29.2</v>
      </c>
      <c r="P38" s="77">
        <v>29.05</v>
      </c>
      <c r="Q38" s="77">
        <v>29.13</v>
      </c>
      <c r="R38" s="77">
        <v>28.88</v>
      </c>
      <c r="S38" s="77">
        <v>28.63</v>
      </c>
      <c r="T38" s="77">
        <v>28.71</v>
      </c>
      <c r="U38" s="77">
        <v>28.35</v>
      </c>
      <c r="V38" s="77">
        <v>28.25</v>
      </c>
      <c r="W38" s="77">
        <v>27.52</v>
      </c>
      <c r="X38" s="77">
        <v>26.76</v>
      </c>
      <c r="Y38" s="77">
        <v>26.48</v>
      </c>
      <c r="Z38" s="77">
        <v>26.64</v>
      </c>
      <c r="AA38" s="16">
        <v>0.021772318737741</v>
      </c>
      <c r="AB38" s="49">
        <f t="shared" si="3"/>
        <v>217723.18737741</v>
      </c>
      <c r="AC38" s="50">
        <f t="shared" si="1"/>
        <v>7792</v>
      </c>
      <c r="AD38" s="77">
        <v>26.78</v>
      </c>
      <c r="AE38" s="77">
        <v>27.94</v>
      </c>
      <c r="AF38" s="77">
        <v>28.82</v>
      </c>
      <c r="AG38" s="77">
        <v>28.43</v>
      </c>
      <c r="AH38" s="77">
        <v>28.64</v>
      </c>
      <c r="AI38" s="77">
        <v>28.59</v>
      </c>
      <c r="AJ38" s="77">
        <v>28.98</v>
      </c>
      <c r="AK38" s="77">
        <v>29.1</v>
      </c>
      <c r="AL38" s="77">
        <v>29.16</v>
      </c>
      <c r="AM38" s="77">
        <v>29.89</v>
      </c>
      <c r="AN38" s="77">
        <v>29.26</v>
      </c>
      <c r="AO38" s="77">
        <v>28.53</v>
      </c>
      <c r="AP38" s="77">
        <v>29.16</v>
      </c>
      <c r="AQ38" s="77">
        <v>29.23</v>
      </c>
      <c r="AR38" s="77">
        <v>28.87</v>
      </c>
      <c r="AS38" s="77">
        <v>28.37</v>
      </c>
      <c r="AT38" s="77">
        <v>28.54</v>
      </c>
      <c r="AU38" s="77">
        <v>28.46</v>
      </c>
      <c r="AV38" s="77">
        <v>28.5</v>
      </c>
      <c r="AW38" s="77">
        <v>27.5</v>
      </c>
      <c r="AX38" s="77">
        <v>27.89</v>
      </c>
      <c r="AY38" s="77">
        <v>28.35</v>
      </c>
    </row>
    <row r="39" spans="1:51">
      <c r="A39" s="14" t="s">
        <v>86</v>
      </c>
      <c r="B39" s="15" t="s">
        <v>87</v>
      </c>
      <c r="C39" s="16">
        <v>0.0052</v>
      </c>
      <c r="D39" s="16">
        <v>0.0195210634373448</v>
      </c>
      <c r="E39" s="49">
        <f t="shared" si="2"/>
        <v>195210.634373448</v>
      </c>
      <c r="F39" s="50">
        <f t="shared" si="0"/>
        <v>2423</v>
      </c>
      <c r="G39" s="51">
        <v>80.54</v>
      </c>
      <c r="H39" s="52">
        <v>80.5</v>
      </c>
      <c r="I39" s="52">
        <v>79.64</v>
      </c>
      <c r="J39" s="52">
        <v>80.46</v>
      </c>
      <c r="K39" s="52">
        <v>80.24</v>
      </c>
      <c r="L39" s="52">
        <v>79.56</v>
      </c>
      <c r="M39" s="52">
        <v>80.1</v>
      </c>
      <c r="N39" s="52">
        <v>80.84</v>
      </c>
      <c r="O39" s="77">
        <v>81.66</v>
      </c>
      <c r="P39" s="77">
        <v>81.88</v>
      </c>
      <c r="Q39" s="77">
        <v>82.36</v>
      </c>
      <c r="R39" s="77">
        <v>82.48</v>
      </c>
      <c r="S39" s="77">
        <v>82.44</v>
      </c>
      <c r="T39" s="77">
        <v>82.92</v>
      </c>
      <c r="U39" s="77">
        <v>83.42</v>
      </c>
      <c r="V39" s="77">
        <v>84.7</v>
      </c>
      <c r="W39" s="77">
        <v>85.24</v>
      </c>
      <c r="X39" s="77">
        <v>84.18</v>
      </c>
      <c r="Y39" s="77">
        <v>86</v>
      </c>
      <c r="Z39" s="77">
        <v>87.2</v>
      </c>
      <c r="AA39" s="16">
        <v>0.0147575788</v>
      </c>
      <c r="AB39" s="49">
        <f t="shared" si="3"/>
        <v>147575.788</v>
      </c>
      <c r="AC39" s="50">
        <f t="shared" si="1"/>
        <v>1664</v>
      </c>
      <c r="AD39" s="77">
        <v>88.22</v>
      </c>
      <c r="AE39" s="77">
        <v>88.66</v>
      </c>
      <c r="AF39" s="77">
        <v>88.72</v>
      </c>
      <c r="AG39" s="77">
        <v>89.06</v>
      </c>
      <c r="AH39" s="77">
        <v>88.54</v>
      </c>
      <c r="AI39" s="77">
        <v>89.04</v>
      </c>
      <c r="AJ39" s="77">
        <v>88.72</v>
      </c>
      <c r="AK39" s="77">
        <v>90.1</v>
      </c>
      <c r="AL39" s="77">
        <v>91.06</v>
      </c>
      <c r="AM39" s="77">
        <v>90.86</v>
      </c>
      <c r="AN39" s="77">
        <v>91.32</v>
      </c>
      <c r="AO39" s="77">
        <v>90.7</v>
      </c>
      <c r="AP39" s="77">
        <v>91.7</v>
      </c>
      <c r="AQ39" s="77">
        <v>90.04</v>
      </c>
      <c r="AR39" s="77">
        <v>89.06</v>
      </c>
      <c r="AS39" s="77">
        <v>88.3</v>
      </c>
      <c r="AT39" s="77">
        <v>88.26</v>
      </c>
      <c r="AU39" s="77">
        <v>88.8</v>
      </c>
      <c r="AV39" s="77">
        <v>88.88</v>
      </c>
      <c r="AW39" s="77">
        <v>86.46</v>
      </c>
      <c r="AX39" s="77">
        <v>86.78</v>
      </c>
      <c r="AY39" s="77">
        <v>86.28</v>
      </c>
    </row>
    <row r="40" spans="1:51">
      <c r="A40" s="14" t="s">
        <v>88</v>
      </c>
      <c r="B40" s="15" t="s">
        <v>89</v>
      </c>
      <c r="C40" s="16">
        <v>0.0047</v>
      </c>
      <c r="D40" s="16">
        <v>0.0221709440433229</v>
      </c>
      <c r="E40" s="49">
        <f t="shared" si="2"/>
        <v>221709.440433229</v>
      </c>
      <c r="F40" s="50">
        <f t="shared" si="0"/>
        <v>8100</v>
      </c>
      <c r="G40" s="51">
        <v>27.37</v>
      </c>
      <c r="H40" s="52">
        <v>27.08</v>
      </c>
      <c r="I40" s="52">
        <v>26.2</v>
      </c>
      <c r="J40" s="52">
        <v>26.1</v>
      </c>
      <c r="K40" s="52">
        <v>26.15</v>
      </c>
      <c r="L40" s="52">
        <v>25.59</v>
      </c>
      <c r="M40" s="52">
        <v>25.95</v>
      </c>
      <c r="N40" s="52">
        <v>26.24</v>
      </c>
      <c r="O40" s="77">
        <v>26.05</v>
      </c>
      <c r="P40" s="77">
        <v>26.41</v>
      </c>
      <c r="Q40" s="77">
        <v>26.77</v>
      </c>
      <c r="R40" s="77">
        <v>26.52</v>
      </c>
      <c r="S40" s="77">
        <v>27.2</v>
      </c>
      <c r="T40" s="77">
        <v>26.92</v>
      </c>
      <c r="U40" s="77">
        <v>25.97</v>
      </c>
      <c r="V40" s="77">
        <v>25.55</v>
      </c>
      <c r="W40" s="77">
        <v>25.12</v>
      </c>
      <c r="X40" s="77">
        <v>24.1</v>
      </c>
      <c r="Y40" s="77">
        <v>24.21</v>
      </c>
      <c r="Z40" s="77">
        <v>24.5</v>
      </c>
      <c r="AA40" s="16">
        <v>0.0258027143748601</v>
      </c>
      <c r="AB40" s="49">
        <f t="shared" si="3"/>
        <v>258027.143748601</v>
      </c>
      <c r="AC40" s="50">
        <f t="shared" si="1"/>
        <v>10024</v>
      </c>
      <c r="AD40" s="77">
        <v>25.22</v>
      </c>
      <c r="AE40" s="77">
        <v>25.74</v>
      </c>
      <c r="AF40" s="77">
        <v>25.93</v>
      </c>
      <c r="AG40" s="77">
        <v>25.6</v>
      </c>
      <c r="AH40" s="77">
        <v>25.73</v>
      </c>
      <c r="AI40" s="77">
        <v>26.18</v>
      </c>
      <c r="AJ40" s="77">
        <v>26.04</v>
      </c>
      <c r="AK40" s="77">
        <v>26.22</v>
      </c>
      <c r="AL40" s="77">
        <v>26.17</v>
      </c>
      <c r="AM40" s="77">
        <v>26.25</v>
      </c>
      <c r="AN40" s="77">
        <v>26.33</v>
      </c>
      <c r="AO40" s="77">
        <v>26.22</v>
      </c>
      <c r="AP40" s="77">
        <v>26.73</v>
      </c>
      <c r="AQ40" s="77">
        <v>26.6</v>
      </c>
      <c r="AR40" s="77">
        <v>25.29</v>
      </c>
      <c r="AS40" s="77">
        <v>24.9</v>
      </c>
      <c r="AT40" s="77">
        <v>24.76</v>
      </c>
      <c r="AU40" s="77">
        <v>24.7</v>
      </c>
      <c r="AV40" s="77">
        <v>24.5</v>
      </c>
      <c r="AW40" s="77">
        <v>23.81</v>
      </c>
      <c r="AX40" s="77">
        <v>23.77</v>
      </c>
      <c r="AY40" s="77">
        <v>23.82</v>
      </c>
    </row>
    <row r="41" spans="1:51">
      <c r="A41" s="14" t="s">
        <v>90</v>
      </c>
      <c r="B41" s="15" t="s">
        <v>91</v>
      </c>
      <c r="C41" s="16">
        <v>0.0045</v>
      </c>
      <c r="D41" s="16">
        <v>0.0370055878422045</v>
      </c>
      <c r="E41" s="49">
        <f t="shared" si="2"/>
        <v>370055.878422045</v>
      </c>
      <c r="F41" s="50">
        <f t="shared" si="0"/>
        <v>29675</v>
      </c>
      <c r="G41" s="51">
        <v>12.47</v>
      </c>
      <c r="H41" s="52">
        <v>12.41</v>
      </c>
      <c r="I41" s="52">
        <v>12.285</v>
      </c>
      <c r="J41" s="52">
        <v>12.26</v>
      </c>
      <c r="K41" s="52">
        <v>12.195</v>
      </c>
      <c r="L41" s="52">
        <v>12.05</v>
      </c>
      <c r="M41" s="52">
        <v>12.085</v>
      </c>
      <c r="N41" s="52">
        <v>12.16</v>
      </c>
      <c r="O41" s="77">
        <v>12.125</v>
      </c>
      <c r="P41" s="77">
        <v>12.155</v>
      </c>
      <c r="Q41" s="77">
        <v>12.295</v>
      </c>
      <c r="R41" s="77">
        <v>12.285</v>
      </c>
      <c r="S41" s="77">
        <v>12.965</v>
      </c>
      <c r="T41" s="77">
        <v>12.69</v>
      </c>
      <c r="U41" s="77">
        <v>12.655</v>
      </c>
      <c r="V41" s="77">
        <v>12.58</v>
      </c>
      <c r="W41" s="77">
        <v>12.57</v>
      </c>
      <c r="X41" s="77">
        <v>12.35</v>
      </c>
      <c r="Y41" s="77">
        <v>12.3</v>
      </c>
      <c r="Z41" s="77">
        <v>12.355</v>
      </c>
      <c r="AA41" s="16">
        <v>0.0424281913022147</v>
      </c>
      <c r="AB41" s="49">
        <f t="shared" si="3"/>
        <v>424281.913022147</v>
      </c>
      <c r="AC41" s="50">
        <f t="shared" si="1"/>
        <v>33969</v>
      </c>
      <c r="AD41" s="77">
        <v>12.43</v>
      </c>
      <c r="AE41" s="77">
        <v>12.49</v>
      </c>
      <c r="AF41" s="77">
        <v>12.65</v>
      </c>
      <c r="AG41" s="77">
        <v>12.705</v>
      </c>
      <c r="AH41" s="77">
        <v>12.76</v>
      </c>
      <c r="AI41" s="77">
        <v>12.725</v>
      </c>
      <c r="AJ41" s="77">
        <v>12.765</v>
      </c>
      <c r="AK41" s="77">
        <v>12.805</v>
      </c>
      <c r="AL41" s="77">
        <v>12.785</v>
      </c>
      <c r="AM41" s="77">
        <v>13</v>
      </c>
      <c r="AN41" s="77">
        <v>13.135</v>
      </c>
      <c r="AO41" s="77">
        <v>13.16</v>
      </c>
      <c r="AP41" s="77">
        <v>13.065</v>
      </c>
      <c r="AQ41" s="77">
        <v>12.925</v>
      </c>
      <c r="AR41" s="77">
        <v>12.665</v>
      </c>
      <c r="AS41" s="77">
        <v>12.36</v>
      </c>
      <c r="AT41" s="77">
        <v>12.41</v>
      </c>
      <c r="AU41" s="77">
        <v>12.365</v>
      </c>
      <c r="AV41" s="77">
        <v>12.235</v>
      </c>
      <c r="AW41" s="77">
        <v>12.18</v>
      </c>
      <c r="AX41" s="77">
        <v>12.22</v>
      </c>
      <c r="AY41" s="77">
        <v>12.365</v>
      </c>
    </row>
    <row r="42" spans="1:51">
      <c r="A42" s="14" t="s">
        <v>92</v>
      </c>
      <c r="B42" s="15" t="s">
        <v>93</v>
      </c>
      <c r="C42" s="16">
        <v>0.0037</v>
      </c>
      <c r="D42" s="16">
        <v>0.0279103999393059</v>
      </c>
      <c r="E42" s="49">
        <f t="shared" si="2"/>
        <v>279103.999393059</v>
      </c>
      <c r="F42" s="50">
        <f t="shared" si="0"/>
        <v>4675</v>
      </c>
      <c r="G42" s="51">
        <v>59.7</v>
      </c>
      <c r="H42" s="52">
        <v>60.62</v>
      </c>
      <c r="I42" s="52">
        <v>60.6</v>
      </c>
      <c r="J42" s="52">
        <v>60.16</v>
      </c>
      <c r="K42" s="52">
        <v>60.28</v>
      </c>
      <c r="L42" s="52">
        <v>60.46</v>
      </c>
      <c r="M42" s="52">
        <v>60.64</v>
      </c>
      <c r="N42" s="52">
        <v>61.36</v>
      </c>
      <c r="O42" s="77">
        <v>61.58</v>
      </c>
      <c r="P42" s="77">
        <v>63.36</v>
      </c>
      <c r="Q42" s="77">
        <v>63.36</v>
      </c>
      <c r="R42" s="77">
        <v>65.9</v>
      </c>
      <c r="S42" s="77">
        <v>68.76</v>
      </c>
      <c r="T42" s="77">
        <v>65.42</v>
      </c>
      <c r="U42" s="77">
        <v>66.5</v>
      </c>
      <c r="V42" s="77">
        <v>66.08</v>
      </c>
      <c r="W42" s="77">
        <v>67.32</v>
      </c>
      <c r="X42" s="77">
        <v>65.92</v>
      </c>
      <c r="Y42" s="77">
        <v>66.54</v>
      </c>
      <c r="Z42" s="77">
        <v>66.6</v>
      </c>
      <c r="AA42" s="16">
        <v>0.0169027878424504</v>
      </c>
      <c r="AB42" s="49">
        <f t="shared" si="3"/>
        <v>169027.878424504</v>
      </c>
      <c r="AC42" s="50">
        <f t="shared" si="1"/>
        <v>2572</v>
      </c>
      <c r="AD42" s="77">
        <v>64.6</v>
      </c>
      <c r="AE42" s="77">
        <v>65.7</v>
      </c>
      <c r="AF42" s="77">
        <v>66.46</v>
      </c>
      <c r="AG42" s="77">
        <v>66.26</v>
      </c>
      <c r="AH42" s="77">
        <v>66.78</v>
      </c>
      <c r="AI42" s="77">
        <v>66.8</v>
      </c>
      <c r="AJ42" s="77">
        <v>67.52</v>
      </c>
      <c r="AK42" s="77">
        <v>67.66</v>
      </c>
      <c r="AL42" s="77">
        <v>67.34</v>
      </c>
      <c r="AM42" s="77">
        <v>67.8</v>
      </c>
      <c r="AN42" s="77">
        <v>68.82</v>
      </c>
      <c r="AO42" s="77">
        <v>68</v>
      </c>
      <c r="AP42" s="77">
        <v>68.36</v>
      </c>
      <c r="AQ42" s="77">
        <v>66.74</v>
      </c>
      <c r="AR42" s="77">
        <v>65.54</v>
      </c>
      <c r="AS42" s="77">
        <v>65.16</v>
      </c>
      <c r="AT42" s="77">
        <v>64.84</v>
      </c>
      <c r="AU42" s="77">
        <v>64.82</v>
      </c>
      <c r="AV42" s="77">
        <v>64.98</v>
      </c>
      <c r="AW42" s="77">
        <v>61.4</v>
      </c>
      <c r="AX42" s="77">
        <v>62.86</v>
      </c>
      <c r="AY42" s="77">
        <v>62.78</v>
      </c>
    </row>
    <row r="43" spans="1:51">
      <c r="A43" s="14" t="s">
        <v>94</v>
      </c>
      <c r="B43" s="15" t="s">
        <v>95</v>
      </c>
      <c r="C43" s="16">
        <v>0.0032</v>
      </c>
      <c r="D43" s="16">
        <v>0.0272905397994756</v>
      </c>
      <c r="E43" s="49">
        <f t="shared" si="2"/>
        <v>272905.397994756</v>
      </c>
      <c r="F43" s="50">
        <f t="shared" si="0"/>
        <v>6935</v>
      </c>
      <c r="G43" s="51">
        <v>39.35</v>
      </c>
      <c r="H43" s="52">
        <v>38.6</v>
      </c>
      <c r="I43" s="52">
        <v>38.51</v>
      </c>
      <c r="J43" s="52">
        <v>39.06</v>
      </c>
      <c r="K43" s="52">
        <v>38.64</v>
      </c>
      <c r="L43" s="52">
        <v>38.16</v>
      </c>
      <c r="M43" s="52">
        <v>38.68</v>
      </c>
      <c r="N43" s="52">
        <v>38.84</v>
      </c>
      <c r="O43" s="77">
        <v>38.6</v>
      </c>
      <c r="P43" s="77">
        <v>38.44</v>
      </c>
      <c r="Q43" s="77">
        <v>38.63</v>
      </c>
      <c r="R43" s="77">
        <v>38.45</v>
      </c>
      <c r="S43" s="77">
        <v>38.78</v>
      </c>
      <c r="T43" s="77">
        <v>38.2</v>
      </c>
      <c r="U43" s="77">
        <v>39.01</v>
      </c>
      <c r="V43" s="77">
        <v>38.98</v>
      </c>
      <c r="W43" s="77">
        <v>36.15</v>
      </c>
      <c r="X43" s="77">
        <v>36.2</v>
      </c>
      <c r="Y43" s="77">
        <v>36.57</v>
      </c>
      <c r="Z43" s="77">
        <v>36.66</v>
      </c>
      <c r="AA43" s="16">
        <v>0.019284028024259</v>
      </c>
      <c r="AB43" s="49">
        <f t="shared" si="3"/>
        <v>192840.28024259</v>
      </c>
      <c r="AC43" s="50">
        <f t="shared" si="1"/>
        <v>5161</v>
      </c>
      <c r="AD43" s="77">
        <v>36.92</v>
      </c>
      <c r="AE43" s="77">
        <v>37.36</v>
      </c>
      <c r="AF43" s="77">
        <v>37.85</v>
      </c>
      <c r="AG43" s="77">
        <v>38.34</v>
      </c>
      <c r="AH43" s="77">
        <v>38.34</v>
      </c>
      <c r="AI43" s="77">
        <v>38.55</v>
      </c>
      <c r="AJ43" s="77">
        <v>39.04</v>
      </c>
      <c r="AK43" s="77">
        <v>39.28</v>
      </c>
      <c r="AL43" s="77">
        <v>38.92</v>
      </c>
      <c r="AM43" s="77">
        <v>39.16</v>
      </c>
      <c r="AN43" s="77">
        <v>38.85</v>
      </c>
      <c r="AO43" s="77">
        <v>38.64</v>
      </c>
      <c r="AP43" s="77">
        <v>38.71</v>
      </c>
      <c r="AQ43" s="77">
        <v>36.97</v>
      </c>
      <c r="AR43" s="77">
        <v>36.4</v>
      </c>
      <c r="AS43" s="77">
        <v>36.68</v>
      </c>
      <c r="AT43" s="77">
        <v>36.73</v>
      </c>
      <c r="AU43" s="77">
        <v>36.64</v>
      </c>
      <c r="AV43" s="77">
        <v>36.14</v>
      </c>
      <c r="AW43" s="77">
        <v>35.63</v>
      </c>
      <c r="AX43" s="77">
        <v>35.64</v>
      </c>
      <c r="AY43" s="77">
        <v>36.22</v>
      </c>
    </row>
    <row r="44" spans="1:51">
      <c r="A44" s="14" t="s">
        <v>96</v>
      </c>
      <c r="B44" s="15" t="s">
        <v>97</v>
      </c>
      <c r="C44" s="16">
        <v>0.0029</v>
      </c>
      <c r="D44" s="19">
        <v>0.0172377781101939</v>
      </c>
      <c r="E44" s="49">
        <f t="shared" si="2"/>
        <v>172377.781101939</v>
      </c>
      <c r="F44" s="50">
        <f t="shared" si="0"/>
        <v>1942</v>
      </c>
      <c r="G44" s="51">
        <v>88.76</v>
      </c>
      <c r="H44" s="52">
        <v>89.32</v>
      </c>
      <c r="I44" s="52">
        <v>86.72</v>
      </c>
      <c r="J44" s="52">
        <v>84.72</v>
      </c>
      <c r="K44" s="52">
        <v>86.08</v>
      </c>
      <c r="L44" s="52">
        <v>85.56</v>
      </c>
      <c r="M44" s="52">
        <v>86.48</v>
      </c>
      <c r="N44" s="52">
        <v>86.22</v>
      </c>
      <c r="O44" s="77">
        <v>84.62</v>
      </c>
      <c r="P44" s="77">
        <v>84.92</v>
      </c>
      <c r="Q44" s="77">
        <v>88.12</v>
      </c>
      <c r="R44" s="77">
        <v>87.92</v>
      </c>
      <c r="S44" s="77">
        <v>89.42</v>
      </c>
      <c r="T44" s="77">
        <v>88.22</v>
      </c>
      <c r="U44" s="77">
        <v>87.98</v>
      </c>
      <c r="V44" s="77">
        <v>85.58</v>
      </c>
      <c r="W44" s="77">
        <v>85.72</v>
      </c>
      <c r="X44" s="77">
        <v>68.02</v>
      </c>
      <c r="Y44" s="77">
        <v>65.44</v>
      </c>
      <c r="Z44" s="77">
        <v>68.4</v>
      </c>
      <c r="AA44" s="19">
        <v>0.0237729554593704</v>
      </c>
      <c r="AB44" s="49">
        <f t="shared" si="3"/>
        <v>237729.554593704</v>
      </c>
      <c r="AC44" s="50">
        <f t="shared" si="1"/>
        <v>3373</v>
      </c>
      <c r="AD44" s="77">
        <v>68</v>
      </c>
      <c r="AE44" s="77">
        <v>70.46</v>
      </c>
      <c r="AF44" s="77">
        <v>70.32</v>
      </c>
      <c r="AG44" s="77">
        <v>68.98</v>
      </c>
      <c r="AH44" s="77">
        <v>69.38</v>
      </c>
      <c r="AI44" s="77">
        <v>69.18</v>
      </c>
      <c r="AJ44" s="77">
        <v>69.68</v>
      </c>
      <c r="AK44" s="77">
        <v>72.48</v>
      </c>
      <c r="AL44" s="77">
        <v>72.6</v>
      </c>
      <c r="AM44" s="77">
        <v>73.4</v>
      </c>
      <c r="AN44" s="77">
        <v>73.3</v>
      </c>
      <c r="AO44" s="77">
        <v>72.44</v>
      </c>
      <c r="AP44" s="77">
        <v>72.24</v>
      </c>
      <c r="AQ44" s="77">
        <v>72.26</v>
      </c>
      <c r="AR44" s="77">
        <v>68.9</v>
      </c>
      <c r="AS44" s="77">
        <v>68.88</v>
      </c>
      <c r="AT44" s="77">
        <v>67.28</v>
      </c>
      <c r="AU44" s="77">
        <v>65.92</v>
      </c>
      <c r="AV44" s="77">
        <v>67.18</v>
      </c>
      <c r="AW44" s="77">
        <v>64.8</v>
      </c>
      <c r="AX44" s="77">
        <v>64.02</v>
      </c>
      <c r="AY44" s="77">
        <v>66</v>
      </c>
    </row>
    <row r="45" spans="1:28">
      <c r="A45" s="14"/>
      <c r="B45" s="15"/>
      <c r="C45" s="16"/>
      <c r="D45" s="16"/>
      <c r="E45" s="49"/>
      <c r="F45" s="50"/>
      <c r="G45" s="53"/>
      <c r="H45" s="52"/>
      <c r="I45" s="52"/>
      <c r="J45" s="52"/>
      <c r="K45" s="52"/>
      <c r="AA45" s="16"/>
      <c r="AB45" s="49"/>
    </row>
    <row r="46" s="21" customFormat="1" ht="18.35" spans="1:28">
      <c r="A46" s="30" t="s">
        <v>98</v>
      </c>
      <c r="B46" s="31"/>
      <c r="C46" s="32">
        <f>SUM(C5:C44)</f>
        <v>0.9999</v>
      </c>
      <c r="D46" s="32">
        <f>SUM(D5:D44)</f>
        <v>0.999999999999998</v>
      </c>
      <c r="E46" s="54">
        <f>SUM(E5:E44)</f>
        <v>9999999.99999998</v>
      </c>
      <c r="F46" s="55"/>
      <c r="G46" s="56"/>
      <c r="H46" s="57"/>
      <c r="I46" s="67"/>
      <c r="J46" s="67"/>
      <c r="K46" s="67"/>
      <c r="AA46" s="32">
        <f>SUM(AA5:AA44)</f>
        <v>1</v>
      </c>
      <c r="AB46" s="54">
        <f>SUM(AB5:AB44)</f>
        <v>10000000</v>
      </c>
    </row>
    <row r="47" s="22" customFormat="1" ht="18.35" spans="1:28">
      <c r="A47"/>
      <c r="B47" s="15"/>
      <c r="C47" s="16"/>
      <c r="D47" s="16"/>
      <c r="E47" s="58"/>
      <c r="F47" s="59"/>
      <c r="G47" s="60"/>
      <c r="H47" s="52"/>
      <c r="I47" s="52"/>
      <c r="J47" s="52"/>
      <c r="K47" s="52"/>
      <c r="L47"/>
      <c r="AA47" s="16"/>
      <c r="AB47" s="58"/>
    </row>
    <row r="48" s="23" customFormat="1" ht="18.35" spans="1:51">
      <c r="A48" s="33" t="s">
        <v>99</v>
      </c>
      <c r="B48" s="34" t="s">
        <v>100</v>
      </c>
      <c r="C48" s="34" t="s">
        <v>101</v>
      </c>
      <c r="D48" s="35">
        <v>-1</v>
      </c>
      <c r="E48" s="61">
        <f>G48*F48</f>
        <v>9997765.74</v>
      </c>
      <c r="F48" s="62">
        <f>ROUNDDOWN(D1/G48,0)</f>
        <v>1269</v>
      </c>
      <c r="G48" s="63">
        <v>7878.46</v>
      </c>
      <c r="H48" s="64">
        <v>7902.25</v>
      </c>
      <c r="I48" s="74">
        <v>7829.29</v>
      </c>
      <c r="J48" s="74">
        <v>7808.17</v>
      </c>
      <c r="K48" s="74">
        <v>7766.21</v>
      </c>
      <c r="L48" s="75">
        <v>7722.09</v>
      </c>
      <c r="M48" s="74">
        <v>7822</v>
      </c>
      <c r="N48" s="74">
        <v>7822.67</v>
      </c>
      <c r="O48" s="78">
        <v>7798.22</v>
      </c>
      <c r="P48" s="78">
        <v>7744.41</v>
      </c>
      <c r="Q48" s="78">
        <v>7850.43</v>
      </c>
      <c r="R48" s="78">
        <v>7818.28</v>
      </c>
      <c r="S48" s="78">
        <v>7834.58</v>
      </c>
      <c r="T48" s="78">
        <v>7800.88</v>
      </c>
      <c r="U48" s="78">
        <v>7857.36</v>
      </c>
      <c r="V48" s="78">
        <v>7861.96</v>
      </c>
      <c r="W48" s="78">
        <v>7771.97</v>
      </c>
      <c r="X48" s="78">
        <v>7546.16</v>
      </c>
      <c r="Y48" s="78">
        <v>7632.01</v>
      </c>
      <c r="Z48" s="78">
        <v>7621.04</v>
      </c>
      <c r="AA48" s="35">
        <v>-1</v>
      </c>
      <c r="AB48" s="61">
        <v>10000000.0045121</v>
      </c>
      <c r="AC48" s="50">
        <f>ROUND(AB48/AD48,0)</f>
        <v>1310</v>
      </c>
      <c r="AD48" s="78">
        <v>7635.03</v>
      </c>
      <c r="AE48" s="78">
        <v>7709.32</v>
      </c>
      <c r="AF48" s="78">
        <v>7743</v>
      </c>
      <c r="AG48" s="78">
        <v>7698.52</v>
      </c>
      <c r="AH48" s="78">
        <v>7753.42</v>
      </c>
      <c r="AI48" s="78">
        <v>7804.97</v>
      </c>
      <c r="AJ48" s="78">
        <v>7870.34</v>
      </c>
      <c r="AK48" s="78">
        <v>7923.45</v>
      </c>
      <c r="AL48" s="78">
        <v>7884.05</v>
      </c>
      <c r="AM48" s="78">
        <v>7979.08</v>
      </c>
      <c r="AN48" s="78">
        <v>7973.03</v>
      </c>
      <c r="AO48" s="78">
        <v>7938.29</v>
      </c>
      <c r="AP48" s="78">
        <v>7969.69</v>
      </c>
      <c r="AQ48" s="78">
        <v>7843.04</v>
      </c>
      <c r="AR48" s="78">
        <v>7709.81</v>
      </c>
      <c r="AS48" s="78">
        <v>7743.93</v>
      </c>
      <c r="AT48" s="78">
        <v>7762.6</v>
      </c>
      <c r="AU48" s="78">
        <v>7703.9</v>
      </c>
      <c r="AV48" s="78">
        <v>7707.9</v>
      </c>
      <c r="AW48" s="78">
        <v>7654.25</v>
      </c>
      <c r="AX48" s="78">
        <v>7719.71</v>
      </c>
      <c r="AY48" s="78">
        <v>7698.92</v>
      </c>
    </row>
    <row r="49" spans="2:28">
      <c r="B49" s="15"/>
      <c r="C49" s="15"/>
      <c r="D49" s="36"/>
      <c r="E49" s="58"/>
      <c r="F49" s="59"/>
      <c r="G49" s="60"/>
      <c r="H49" s="52"/>
      <c r="I49" s="52"/>
      <c r="J49" s="52"/>
      <c r="K49" s="52"/>
      <c r="L49" s="72"/>
      <c r="AA49" s="36"/>
      <c r="AB49" s="58"/>
    </row>
    <row r="50" s="21" customFormat="1" spans="1:51">
      <c r="A50" s="21" t="s">
        <v>102</v>
      </c>
      <c r="F50" s="65"/>
      <c r="G50" s="66">
        <v>0</v>
      </c>
      <c r="H50" s="67" cm="1">
        <f t="array" ref="H50">SUMPRODUCT((H5:H44-G5:G44),F5:F44)-(H48-G48)*$F48</f>
        <v>9590.65000000006</v>
      </c>
      <c r="I50" s="67" cm="1">
        <f t="array" ref="I50">SUMPRODUCT((I5:I44-H5:H44),$F5:$F44)-(I48-H48)*$F48</f>
        <v>-2417.87000000001</v>
      </c>
      <c r="J50" s="67" cm="1">
        <f t="array" ref="J50">SUMPRODUCT((J5:J44-I5:I44),$F$5:$F$44)-(J48-I48)*$F$48</f>
        <v>12188.54</v>
      </c>
      <c r="K50" s="67" cm="1">
        <f t="array" ref="K50">SUMPRODUCT((K5:K44-J5:J44),$F$5:$F$44)-(K48-J48)*$F$48</f>
        <v>4949.1099999998</v>
      </c>
      <c r="L50" s="67" cm="1">
        <f t="array" ref="L50">SUMPRODUCT((L5:L44-K5:K44),$F$5:$F$44)-(L48-K48)*$F$48</f>
        <v>-45499.63</v>
      </c>
      <c r="M50" s="67" cm="1">
        <f t="array" ref="M50">SUMPRODUCT((M5:M44-L5:L44),$F$5:$F$44)-(M48-L48)*$F$48</f>
        <v>-43469.5949999997</v>
      </c>
      <c r="N50" s="67" cm="1">
        <f t="array" ref="N50">SUMPRODUCT((N5:N44-M5:M44),$F$5:$F$44)-(N48-M48)*$F$48</f>
        <v>29897.7499999999</v>
      </c>
      <c r="O50" s="67" cm="1">
        <f t="array" ref="O50">SUMPRODUCT((O5:O44-N5:N44),$F$5:$F$44)-(O48-N48)*$F$48</f>
        <v>11310.1299999997</v>
      </c>
      <c r="P50" s="67" cm="1">
        <f t="array" ref="P50">SUMPRODUCT((P5:P44-O5:O44),$F$5:$F$44)-(P48-O48)*$F$48</f>
        <v>55695.5100000005</v>
      </c>
      <c r="Q50" s="67" cm="1">
        <f t="array" ref="Q50">SUMPRODUCT((Q5:Q44-P5:P44),$F$5:$F$44)-(Q48-P48)*$F$48</f>
        <v>-45944.2550000005</v>
      </c>
      <c r="R50" s="67" cm="1">
        <f t="array" ref="R50">SUMPRODUCT((R5:R44-Q5:Q44),$F$5:$F$44)-(R48-Q48)*$F$48</f>
        <v>7488.59000000064</v>
      </c>
      <c r="S50" s="67" cm="1">
        <f t="array" ref="S50">SUMPRODUCT((S5:S44-R5:R44),$F$5:$F$44)-(S48-R48)*$F$48</f>
        <v>32229.1249999998</v>
      </c>
      <c r="T50" s="67" cm="1">
        <f t="array" ref="T50">SUMPRODUCT((T5:T44-S5:S44),$F$5:$F$44)-(T48-S48)*$F$48</f>
        <v>-49007.6950000003</v>
      </c>
      <c r="U50" s="67" cm="1">
        <f t="array" ref="U50">SUMPRODUCT((U5:U44-T5:T44),$F$5:$F$44)-(U48-T48)*$F$48</f>
        <v>-22199.4449999995</v>
      </c>
      <c r="V50" s="67" cm="1">
        <f t="array" ref="V50">SUMPRODUCT((V5:V44-U5:U44),$F$5:$F$44)-(V48-U48)*$F$48</f>
        <v>-11081.8650000004</v>
      </c>
      <c r="W50" s="67" cm="1">
        <f t="array" ref="W50">SUMPRODUCT((W5:W44-V5:V44),$F$5:$F$44)-(W48-V48)*$F$48</f>
        <v>1856.83999999972</v>
      </c>
      <c r="X50" s="67" cm="1">
        <f t="array" ref="X50">SUMPRODUCT((X5:X44-W5:W44),$F$5:$F$44)-(X48-W48)*$F$48</f>
        <v>59464.9500000005</v>
      </c>
      <c r="Y50" s="67" cm="1">
        <f t="array" ref="Y50">SUMPRODUCT((Y5:Y44-X5:X44),$F$5:$F$44)-(Y48-X48)*$F$48</f>
        <v>-53818.0450000004</v>
      </c>
      <c r="Z50" s="67" cm="1">
        <f t="array" ref="Z50">SUMPRODUCT((Z5:Z44-Y5:Y44),$F$5:$F$44)-(Z48-Y48)*$F$48</f>
        <v>18413.1200000002</v>
      </c>
      <c r="AA50" s="67"/>
      <c r="AB50" s="67"/>
      <c r="AC50" s="67"/>
      <c r="AD50" s="67" cm="1">
        <f t="array" ref="AD50">SUMPRODUCT((AD5:AD44-Z5:Z44),$AC$5:$AC$44)-(AD48-Z48)*$AC$48</f>
        <v>-2354.36299999967</v>
      </c>
      <c r="AE50" s="67" cm="1">
        <f t="array" ref="AE50">SUMPRODUCT((AE5:AE44-AD5:AD44),$AC$5:$AC$44)-(AE48-AD48)*$AC$48</f>
        <v>11213.314</v>
      </c>
      <c r="AF50" s="67" cm="1">
        <f t="array" ref="AF50">SUMPRODUCT((AF5:AF44-AE5:AE44),$AC$5:$AC$44)-(AF48-AE48)*$AC$48</f>
        <v>14703.8399999997</v>
      </c>
      <c r="AG50" s="67" cm="1">
        <f t="array" ref="AG50">SUMPRODUCT((AG5:AG44-AF5:AF44),$AC$5:$AC$44)-(AG48-AF48)*$AC$48</f>
        <v>8625.70699999933</v>
      </c>
      <c r="AH50" s="67" cm="1">
        <f t="array" ref="AH50">SUMPRODUCT((AH5:AH44-AG5:AG44),$AC$5:$AC$44)-(AH48-AG48)*$AAC$48</f>
        <v>42152.7870000001</v>
      </c>
      <c r="AI50" s="67" cm="1">
        <f t="array" ref="AI50">SUMPRODUCT((AI5:AI44-AH5:AH44),$AC$5:$AC$44)-(AI48-AH48)*$AAC$48</f>
        <v>76956.4509999998</v>
      </c>
      <c r="AJ50" s="67" cm="1">
        <f t="array" ref="AJ50">SUMPRODUCT((AJ5:AJ44-AI5:AI44),$AC$5:$AC$44)-(AJ48-AI48)*$AAC$48</f>
        <v>62160.1340000002</v>
      </c>
      <c r="AK50" s="67" cm="1">
        <f t="array" ref="AK50">SUMPRODUCT((AK5:AK44-AJ5:AJ44),$AC$5:$AC$44)-(AK48-AJ48)*$AAC$48</f>
        <v>74071.5899999998</v>
      </c>
      <c r="AL50" s="67" cm="1">
        <f t="array" ref="AL50">SUMPRODUCT((AL5:AL44-AK5:AK44),$AC$5:$AC$44)-(AL48-AK48)*$AAC$48</f>
        <v>-41014.7439999999</v>
      </c>
      <c r="AM50" s="67" cm="1">
        <f t="array" ref="AM50">SUMPRODUCT((AM5:AM44-AL5:AL44),$AC$5:$AC$44)-(AM48-AL48)*$AAC$48</f>
        <v>120631.529</v>
      </c>
      <c r="AN50" s="67" cm="1">
        <f t="array" ref="AN50">SUMPRODUCT((AN5:AN44-AM5:AM44),$AC$5:$AC$44)-(AN48-AM48)*$AAC$48</f>
        <v>21742.007</v>
      </c>
      <c r="AO50" s="67" cm="1">
        <f t="array" ref="AO50">SUMPRODUCT((AO5:AO44-AN5:AN44),$AC$5:$AC$44)-(AO48-AN48)*$AAC$48</f>
        <v>-63030.9489999999</v>
      </c>
      <c r="AP50" s="67" cm="1">
        <f t="array" ref="AP50">SUMPRODUCT((AP5:AP44-AO5:AO44),$AC$5:$AC$44)-(AP48-AO48)*$AAC$48</f>
        <v>53011.7729999999</v>
      </c>
      <c r="AQ50" s="67" cm="1">
        <f t="array" ref="AQ50">SUMPRODUCT((AQ5:AQ44-AP5:AP44),$AC$5:$AC$44)-(AQ48-AP48)*$AAC$48</f>
        <v>-159065.912</v>
      </c>
      <c r="AR50" s="67" cm="1">
        <f t="array" ref="AR50">SUMPRODUCT((AR5:AR44-AQ5:AQ44),$AC$5:$AC$44)-(AR48-AQ48)*$AAC$48</f>
        <v>-185207.18</v>
      </c>
      <c r="AS50" s="67" cm="1">
        <f t="array" ref="AS50">SUMPRODUCT((AS5:AS44-AR5:AR44),$AC$5:$AC$44)-(AS48-AR48)*$AAC$48</f>
        <v>6126.92299999985</v>
      </c>
      <c r="AT50" s="67" cm="1">
        <f t="array" ref="AT50">SUMPRODUCT((AT5:AT44-AS5:AS44),$AC$5:$AC$44)-(AT48-AS48)*$AAC$48</f>
        <v>15529.3160000002</v>
      </c>
      <c r="AU50" s="67" cm="1">
        <f t="array" ref="AU50">SUMPRODUCT((AU5:AU44-AT5:AT44),$AC$5:$AC$44)-(AU48-AT48)*$AAC$48</f>
        <v>-71169.8430000001</v>
      </c>
      <c r="AV50" s="67" cm="1">
        <f t="array" ref="AV50">SUMPRODUCT((AV5:AV44-AU5:AU44),$AC$5:$AC$44)-(AV48-AU48)*$AAC$48</f>
        <v>223.317999999963</v>
      </c>
      <c r="AW50" s="67" cm="1">
        <f t="array" ref="AW50">SUMPRODUCT((AW5:AW44-AV5:AV44),$AC$5:$AC$44)-(AW48-AV48)*$AAC$48</f>
        <v>-97422.9350000001</v>
      </c>
      <c r="AX50" s="67" cm="1">
        <f t="array" ref="AX50">SUMPRODUCT((AX5:AX44-AW5:AW44),$AC$5:$AC$44)-(AX48-AW48)*$AAC$48</f>
        <v>62791.2360000001</v>
      </c>
      <c r="AY50" s="67" cm="1">
        <f t="array" ref="AY50">SUMPRODUCT((AY5:AY44-AX5:AX44),$AC$5:$AC$44)-(AY48-AX48)*$AAC$48</f>
        <v>13796.0329999999</v>
      </c>
    </row>
    <row r="51" s="21" customFormat="1" spans="1:51">
      <c r="A51" s="21" t="s">
        <v>103</v>
      </c>
      <c r="F51" s="65"/>
      <c r="G51" s="68">
        <v>0</v>
      </c>
      <c r="H51" s="69">
        <f t="shared" ref="H51:AY51" si="4">H50/$E$46</f>
        <v>0.000959065000000008</v>
      </c>
      <c r="I51" s="69">
        <f t="shared" si="4"/>
        <v>-0.000241787000000001</v>
      </c>
      <c r="J51" s="69">
        <f t="shared" si="4"/>
        <v>0.001218854</v>
      </c>
      <c r="K51" s="69">
        <f t="shared" si="4"/>
        <v>0.00049491099999998</v>
      </c>
      <c r="L51" s="69">
        <f t="shared" si="4"/>
        <v>-0.004549963</v>
      </c>
      <c r="M51" s="69">
        <f t="shared" si="4"/>
        <v>-0.00434695949999998</v>
      </c>
      <c r="N51" s="69">
        <f t="shared" si="4"/>
        <v>0.00298977499999999</v>
      </c>
      <c r="O51" s="69">
        <f t="shared" si="4"/>
        <v>0.00113101299999997</v>
      </c>
      <c r="P51" s="69">
        <f t="shared" si="4"/>
        <v>0.00556955100000006</v>
      </c>
      <c r="Q51" s="69">
        <f t="shared" si="4"/>
        <v>-0.00459442550000005</v>
      </c>
      <c r="R51" s="69">
        <f t="shared" si="4"/>
        <v>0.000748859000000065</v>
      </c>
      <c r="S51" s="69">
        <f t="shared" si="4"/>
        <v>0.00322291249999999</v>
      </c>
      <c r="T51" s="69">
        <f t="shared" si="4"/>
        <v>-0.00490076950000004</v>
      </c>
      <c r="U51" s="79">
        <f t="shared" si="4"/>
        <v>-0.00221994449999995</v>
      </c>
      <c r="V51" s="69">
        <f t="shared" si="4"/>
        <v>-0.00110818650000004</v>
      </c>
      <c r="W51" s="69">
        <f t="shared" si="4"/>
        <v>0.000185683999999972</v>
      </c>
      <c r="X51" s="69">
        <f t="shared" si="4"/>
        <v>0.00594649500000006</v>
      </c>
      <c r="Y51" s="69">
        <f t="shared" si="4"/>
        <v>-0.00538180450000005</v>
      </c>
      <c r="Z51" s="69">
        <f t="shared" si="4"/>
        <v>0.00184131200000003</v>
      </c>
      <c r="AA51" s="69"/>
      <c r="AB51" s="69"/>
      <c r="AC51" s="69"/>
      <c r="AD51" s="69">
        <f>AD50/$E$46</f>
        <v>-0.000235436299999968</v>
      </c>
      <c r="AE51" s="69">
        <f t="shared" si="4"/>
        <v>0.0011213314</v>
      </c>
      <c r="AF51" s="69">
        <f t="shared" si="4"/>
        <v>0.00147038399999998</v>
      </c>
      <c r="AG51" s="69">
        <f t="shared" si="4"/>
        <v>0.000862570699999935</v>
      </c>
      <c r="AH51" s="69">
        <f t="shared" si="4"/>
        <v>0.00421527870000002</v>
      </c>
      <c r="AI51" s="69">
        <f t="shared" si="4"/>
        <v>0.00769564509999999</v>
      </c>
      <c r="AJ51" s="69">
        <f t="shared" si="4"/>
        <v>0.00621601340000003</v>
      </c>
      <c r="AK51" s="69">
        <f t="shared" si="4"/>
        <v>0.00740715899999999</v>
      </c>
      <c r="AL51" s="69">
        <f t="shared" si="4"/>
        <v>-0.00410147439999999</v>
      </c>
      <c r="AM51" s="69">
        <f t="shared" si="4"/>
        <v>0.0120631529</v>
      </c>
      <c r="AN51" s="69">
        <f t="shared" si="4"/>
        <v>0.00217420070000001</v>
      </c>
      <c r="AO51" s="69">
        <f t="shared" si="4"/>
        <v>-0.0063030949</v>
      </c>
      <c r="AP51" s="69">
        <f t="shared" si="4"/>
        <v>0.0053011773</v>
      </c>
      <c r="AQ51" s="69">
        <f t="shared" si="4"/>
        <v>-0.0159065912</v>
      </c>
      <c r="AR51" s="69">
        <f t="shared" si="4"/>
        <v>-0.018520718</v>
      </c>
      <c r="AS51" s="69">
        <f t="shared" si="4"/>
        <v>0.000612692299999986</v>
      </c>
      <c r="AT51" s="69">
        <f t="shared" si="4"/>
        <v>0.00155293160000003</v>
      </c>
      <c r="AU51" s="69">
        <f t="shared" si="4"/>
        <v>-0.00711698430000002</v>
      </c>
      <c r="AV51" s="69">
        <f t="shared" si="4"/>
        <v>2.23317999999963e-5</v>
      </c>
      <c r="AW51" s="69">
        <f t="shared" si="4"/>
        <v>-0.00974229350000002</v>
      </c>
      <c r="AX51" s="69">
        <f t="shared" si="4"/>
        <v>0.00627912360000002</v>
      </c>
      <c r="AY51" s="69">
        <f t="shared" si="4"/>
        <v>0.00137960329999999</v>
      </c>
    </row>
    <row r="52" s="21" customFormat="1" spans="1:51">
      <c r="A52" s="21" t="s">
        <v>104</v>
      </c>
      <c r="F52" s="65"/>
      <c r="G52" s="66">
        <v>0</v>
      </c>
      <c r="H52" s="70">
        <f>H50</f>
        <v>9590.65000000006</v>
      </c>
      <c r="I52" s="70">
        <f>H52+I50</f>
        <v>7172.78000000005</v>
      </c>
      <c r="J52" s="70">
        <f t="shared" ref="J52:M52" si="5">I52+J50</f>
        <v>19361.32</v>
      </c>
      <c r="K52" s="70">
        <f t="shared" si="5"/>
        <v>24310.4299999998</v>
      </c>
      <c r="L52" s="70">
        <f t="shared" si="5"/>
        <v>-21189.2000000002</v>
      </c>
      <c r="M52" s="70">
        <f t="shared" si="5"/>
        <v>-64658.7949999999</v>
      </c>
      <c r="N52" s="70">
        <f t="shared" ref="N52:AK52" si="6">M52+N50</f>
        <v>-34761.045</v>
      </c>
      <c r="O52" s="70">
        <f t="shared" si="6"/>
        <v>-23450.9150000004</v>
      </c>
      <c r="P52" s="70">
        <f t="shared" si="6"/>
        <v>32244.5950000002</v>
      </c>
      <c r="Q52" s="70">
        <f t="shared" si="6"/>
        <v>-13699.6600000003</v>
      </c>
      <c r="R52" s="70">
        <f t="shared" si="6"/>
        <v>-6211.06999999966</v>
      </c>
      <c r="S52" s="70">
        <f t="shared" si="6"/>
        <v>26018.0550000001</v>
      </c>
      <c r="T52" s="70">
        <f t="shared" si="6"/>
        <v>-22989.6400000001</v>
      </c>
      <c r="U52" s="67">
        <f t="shared" si="6"/>
        <v>-45189.0849999997</v>
      </c>
      <c r="V52" s="70">
        <f t="shared" si="6"/>
        <v>-56270.9500000001</v>
      </c>
      <c r="W52" s="70">
        <f t="shared" si="6"/>
        <v>-54414.1100000003</v>
      </c>
      <c r="X52" s="70">
        <f t="shared" si="6"/>
        <v>5050.84000000013</v>
      </c>
      <c r="Y52" s="70">
        <f t="shared" si="6"/>
        <v>-48767.2050000003</v>
      </c>
      <c r="Z52" s="70">
        <f t="shared" si="6"/>
        <v>-30354.0850000001</v>
      </c>
      <c r="AA52" s="70"/>
      <c r="AB52" s="70"/>
      <c r="AC52" s="70"/>
      <c r="AD52" s="70">
        <f>Z52+AD50</f>
        <v>-32708.4479999998</v>
      </c>
      <c r="AE52" s="70">
        <f>AD52+AE50</f>
        <v>-21495.1339999997</v>
      </c>
      <c r="AF52" s="70">
        <f t="shared" si="6"/>
        <v>-6791.29399999998</v>
      </c>
      <c r="AG52" s="70">
        <f t="shared" si="6"/>
        <v>1834.41299999935</v>
      </c>
      <c r="AH52" s="70">
        <f t="shared" si="6"/>
        <v>43987.1999999994</v>
      </c>
      <c r="AI52" s="70">
        <f t="shared" si="6"/>
        <v>120943.650999999</v>
      </c>
      <c r="AJ52" s="70">
        <f t="shared" si="6"/>
        <v>183103.784999999</v>
      </c>
      <c r="AK52" s="70">
        <f t="shared" si="6"/>
        <v>257175.374999999</v>
      </c>
      <c r="AL52" s="70">
        <f t="shared" ref="AL52" si="7">AK52+AL50</f>
        <v>216160.630999999</v>
      </c>
      <c r="AM52" s="70">
        <f t="shared" ref="AM52" si="8">AL52+AM50</f>
        <v>336792.159999999</v>
      </c>
      <c r="AN52" s="70">
        <f t="shared" ref="AN52" si="9">AM52+AN50</f>
        <v>358534.166999999</v>
      </c>
      <c r="AO52" s="70">
        <f t="shared" ref="AO52" si="10">AN52+AO50</f>
        <v>295503.217999999</v>
      </c>
      <c r="AP52" s="70">
        <f t="shared" ref="AP52" si="11">AO52+AP50</f>
        <v>348514.990999999</v>
      </c>
      <c r="AQ52" s="70">
        <f t="shared" ref="AQ52" si="12">AP52+AQ50</f>
        <v>189449.078999999</v>
      </c>
      <c r="AR52" s="70">
        <f t="shared" ref="AR52" si="13">AQ52+AR50</f>
        <v>4241.89899999934</v>
      </c>
      <c r="AS52" s="70">
        <f t="shared" ref="AS52" si="14">AR52+AS50</f>
        <v>10368.8219999992</v>
      </c>
      <c r="AT52" s="70">
        <f t="shared" ref="AT52" si="15">AS52+AT50</f>
        <v>25898.1379999994</v>
      </c>
      <c r="AU52" s="70">
        <f t="shared" ref="AU52" si="16">AT52+AU50</f>
        <v>-45271.7050000007</v>
      </c>
      <c r="AV52" s="70">
        <f t="shared" ref="AV52" si="17">AU52+AV50</f>
        <v>-45048.3870000007</v>
      </c>
      <c r="AW52" s="70">
        <f t="shared" ref="AW52" si="18">AV52+AW50</f>
        <v>-142471.322000001</v>
      </c>
      <c r="AX52" s="70">
        <f t="shared" ref="AX52" si="19">AW52+AX50</f>
        <v>-79680.0860000007</v>
      </c>
      <c r="AY52" s="70">
        <f t="shared" ref="AY52" si="20">AX52+AY50</f>
        <v>-65884.0530000008</v>
      </c>
    </row>
    <row r="53" s="24" customFormat="1" spans="1:51">
      <c r="A53" s="24" t="s">
        <v>105</v>
      </c>
      <c r="F53" s="65"/>
      <c r="G53" s="68">
        <v>0</v>
      </c>
      <c r="H53" s="71">
        <f>H52/$D$1</f>
        <v>0.000959065000000006</v>
      </c>
      <c r="I53" s="71">
        <f t="shared" ref="I53:M53" si="21">I52/$D$1</f>
        <v>0.000717278000000005</v>
      </c>
      <c r="J53" s="71">
        <f t="shared" si="21"/>
        <v>0.001936132</v>
      </c>
      <c r="K53" s="71">
        <f t="shared" si="21"/>
        <v>0.00243104299999998</v>
      </c>
      <c r="L53" s="71">
        <f t="shared" si="21"/>
        <v>-0.00211892000000002</v>
      </c>
      <c r="M53" s="71">
        <f t="shared" si="21"/>
        <v>-0.00646587949999999</v>
      </c>
      <c r="N53" s="71">
        <f t="shared" ref="N53:U53" si="22">N52/$D$1</f>
        <v>-0.0034761045</v>
      </c>
      <c r="O53" s="71">
        <f t="shared" si="22"/>
        <v>-0.00234509150000004</v>
      </c>
      <c r="P53" s="71">
        <f t="shared" si="22"/>
        <v>0.00322445950000002</v>
      </c>
      <c r="Q53" s="71">
        <f t="shared" si="22"/>
        <v>-0.00136996600000003</v>
      </c>
      <c r="R53" s="71">
        <f t="shared" si="22"/>
        <v>-0.000621106999999966</v>
      </c>
      <c r="S53" s="71">
        <f t="shared" si="22"/>
        <v>0.00260180550000001</v>
      </c>
      <c r="T53" s="71">
        <f t="shared" si="22"/>
        <v>-0.00229896400000001</v>
      </c>
      <c r="U53" s="80">
        <f t="shared" si="22"/>
        <v>-0.00451890849999997</v>
      </c>
      <c r="V53" s="71">
        <f t="shared" ref="V53:AK53" si="23">V52/$D$1</f>
        <v>-0.00562709500000001</v>
      </c>
      <c r="W53" s="71">
        <f t="shared" si="23"/>
        <v>-0.00544141100000003</v>
      </c>
      <c r="X53" s="71">
        <f t="shared" si="23"/>
        <v>0.000505084000000013</v>
      </c>
      <c r="Y53" s="71">
        <f t="shared" si="23"/>
        <v>-0.00487672050000003</v>
      </c>
      <c r="Z53" s="71">
        <f t="shared" si="23"/>
        <v>-0.00303540850000001</v>
      </c>
      <c r="AA53" s="71"/>
      <c r="AB53" s="71"/>
      <c r="AC53" s="71"/>
      <c r="AD53" s="71">
        <f>AD52/$D$1</f>
        <v>-0.00327084479999998</v>
      </c>
      <c r="AE53" s="71">
        <f t="shared" si="23"/>
        <v>-0.00214951339999997</v>
      </c>
      <c r="AF53" s="71">
        <f t="shared" si="23"/>
        <v>-0.000679129399999998</v>
      </c>
      <c r="AG53" s="71">
        <f t="shared" si="23"/>
        <v>0.000183441299999935</v>
      </c>
      <c r="AH53" s="71">
        <f t="shared" si="23"/>
        <v>0.00439871999999994</v>
      </c>
      <c r="AI53" s="71">
        <f t="shared" si="23"/>
        <v>0.0120943650999999</v>
      </c>
      <c r="AJ53" s="71">
        <f t="shared" si="23"/>
        <v>0.0183103784999999</v>
      </c>
      <c r="AK53" s="71">
        <f t="shared" si="23"/>
        <v>0.0257175374999999</v>
      </c>
      <c r="AL53" s="71">
        <f t="shared" ref="AL53:AY53" si="24">AL52/$D$1</f>
        <v>0.0216160630999999</v>
      </c>
      <c r="AM53" s="71">
        <f t="shared" si="24"/>
        <v>0.0336792159999999</v>
      </c>
      <c r="AN53" s="71">
        <f t="shared" si="24"/>
        <v>0.0358534166999999</v>
      </c>
      <c r="AO53" s="71">
        <f t="shared" si="24"/>
        <v>0.0295503217999999</v>
      </c>
      <c r="AP53" s="71">
        <f t="shared" si="24"/>
        <v>0.0348514990999999</v>
      </c>
      <c r="AQ53" s="71">
        <f t="shared" si="24"/>
        <v>0.0189449078999999</v>
      </c>
      <c r="AR53" s="71">
        <f t="shared" si="24"/>
        <v>0.000424189899999934</v>
      </c>
      <c r="AS53" s="71">
        <f t="shared" si="24"/>
        <v>0.00103688219999992</v>
      </c>
      <c r="AT53" s="71">
        <f t="shared" si="24"/>
        <v>0.00258981379999994</v>
      </c>
      <c r="AU53" s="71">
        <f t="shared" si="24"/>
        <v>-0.00452717050000007</v>
      </c>
      <c r="AV53" s="71">
        <f t="shared" si="24"/>
        <v>-0.00450483870000007</v>
      </c>
      <c r="AW53" s="71">
        <f t="shared" si="24"/>
        <v>-0.0142471322000001</v>
      </c>
      <c r="AX53" s="71">
        <f t="shared" si="24"/>
        <v>-0.00796800860000007</v>
      </c>
      <c r="AY53" s="71">
        <f t="shared" si="24"/>
        <v>-0.00658840530000008</v>
      </c>
    </row>
    <row r="54" spans="8:51">
      <c r="H54">
        <f>SUMPRODUCT((H5:H44),$F$5:$F$44)</f>
        <v>10036905.585</v>
      </c>
      <c r="I54">
        <f t="shared" ref="I54:Z54" si="25">SUMPRODUCT((I5:I44),$F$5:$F$44)</f>
        <v>9941901.475</v>
      </c>
      <c r="J54">
        <f t="shared" si="25"/>
        <v>9927288.735</v>
      </c>
      <c r="K54">
        <f t="shared" si="25"/>
        <v>9878990.605</v>
      </c>
      <c r="L54" s="76">
        <f t="shared" si="25"/>
        <v>9777502.695</v>
      </c>
      <c r="M54">
        <f t="shared" si="25"/>
        <v>9860818.89</v>
      </c>
      <c r="N54">
        <f t="shared" si="25"/>
        <v>9891566.87</v>
      </c>
      <c r="O54">
        <f t="shared" si="25"/>
        <v>9871849.95</v>
      </c>
      <c r="P54">
        <f t="shared" si="25"/>
        <v>9859260.57</v>
      </c>
      <c r="Q54">
        <f t="shared" si="25"/>
        <v>9947855.695</v>
      </c>
      <c r="R54">
        <f t="shared" si="25"/>
        <v>9914545.935</v>
      </c>
      <c r="S54">
        <f t="shared" si="25"/>
        <v>9967459.76</v>
      </c>
      <c r="T54">
        <f t="shared" si="25"/>
        <v>9875686.765</v>
      </c>
      <c r="U54">
        <f t="shared" si="25"/>
        <v>9925160.44</v>
      </c>
      <c r="V54">
        <f t="shared" si="25"/>
        <v>9919915.975</v>
      </c>
      <c r="W54">
        <f t="shared" si="25"/>
        <v>9807575.505</v>
      </c>
      <c r="X54">
        <f t="shared" si="25"/>
        <v>9580487.565</v>
      </c>
      <c r="Y54">
        <f t="shared" si="25"/>
        <v>9635613.17</v>
      </c>
      <c r="Z54">
        <f t="shared" si="25"/>
        <v>9640105.36</v>
      </c>
      <c r="AD54">
        <f>SUMPRODUCT((AD5:AD44),$AC$5:$AC$44)</f>
        <v>9889232.024</v>
      </c>
      <c r="AE54">
        <f t="shared" ref="AE54:AK54" si="26">SUMPRODUCT((AE5:AE44),$AC$5:$AC$44)</f>
        <v>9997765.238</v>
      </c>
      <c r="AF54">
        <f t="shared" si="26"/>
        <v>10056589.878</v>
      </c>
      <c r="AG54">
        <f t="shared" si="26"/>
        <v>10006946.785</v>
      </c>
      <c r="AH54">
        <f t="shared" si="26"/>
        <v>10049099.572</v>
      </c>
      <c r="AI54">
        <f t="shared" si="26"/>
        <v>10126056.023</v>
      </c>
      <c r="AJ54">
        <f t="shared" si="26"/>
        <v>10188216.157</v>
      </c>
      <c r="AK54">
        <f t="shared" si="26"/>
        <v>10262287.747</v>
      </c>
      <c r="AL54">
        <f t="shared" ref="AL54:AY54" si="27">SUMPRODUCT((AL5:AL44),$AC$5:$AC$44)</f>
        <v>10221273.003</v>
      </c>
      <c r="AM54">
        <f t="shared" si="27"/>
        <v>10341904.532</v>
      </c>
      <c r="AN54">
        <f t="shared" si="27"/>
        <v>10363646.539</v>
      </c>
      <c r="AO54">
        <f t="shared" si="27"/>
        <v>10300615.59</v>
      </c>
      <c r="AP54">
        <f t="shared" si="27"/>
        <v>10353627.363</v>
      </c>
      <c r="AQ54">
        <f t="shared" si="27"/>
        <v>10194561.451</v>
      </c>
      <c r="AR54">
        <f t="shared" si="27"/>
        <v>10009354.271</v>
      </c>
      <c r="AS54">
        <f t="shared" si="27"/>
        <v>10015481.194</v>
      </c>
      <c r="AT54">
        <f t="shared" si="27"/>
        <v>10031010.51</v>
      </c>
      <c r="AU54">
        <f t="shared" si="27"/>
        <v>9959840.667</v>
      </c>
      <c r="AV54">
        <f t="shared" si="27"/>
        <v>9960063.985</v>
      </c>
      <c r="AW54">
        <f t="shared" si="27"/>
        <v>9862641.05</v>
      </c>
      <c r="AX54">
        <f t="shared" si="27"/>
        <v>9925432.286</v>
      </c>
      <c r="AY54">
        <f t="shared" si="27"/>
        <v>9939228.319</v>
      </c>
    </row>
    <row r="56" spans="1:51">
      <c r="A56" t="s">
        <v>106</v>
      </c>
      <c r="G56" s="72">
        <v>0</v>
      </c>
      <c r="H56" s="52">
        <f>(H48-G48)*$F$48</f>
        <v>30189.51</v>
      </c>
      <c r="I56" s="52">
        <f t="shared" ref="I56:Z56" si="28">(I48-H48)*$F$48</f>
        <v>-92586.24</v>
      </c>
      <c r="J56" s="52">
        <f t="shared" si="28"/>
        <v>-26801.2799999999</v>
      </c>
      <c r="K56" s="52">
        <f t="shared" si="28"/>
        <v>-53247.24</v>
      </c>
      <c r="L56" s="52">
        <f t="shared" si="28"/>
        <v>-55988.2799999999</v>
      </c>
      <c r="M56" s="52">
        <f t="shared" si="28"/>
        <v>126785.79</v>
      </c>
      <c r="N56" s="52">
        <f t="shared" si="28"/>
        <v>850.230000000092</v>
      </c>
      <c r="O56" s="52">
        <f t="shared" si="28"/>
        <v>-31027.0499999998</v>
      </c>
      <c r="P56" s="52">
        <f t="shared" si="28"/>
        <v>-68284.8900000005</v>
      </c>
      <c r="Q56" s="52">
        <f t="shared" si="28"/>
        <v>134539.380000001</v>
      </c>
      <c r="R56" s="52">
        <f t="shared" si="28"/>
        <v>-40798.3500000007</v>
      </c>
      <c r="S56" s="52">
        <f t="shared" si="28"/>
        <v>20684.7000000002</v>
      </c>
      <c r="T56" s="52">
        <f t="shared" si="28"/>
        <v>-42765.2999999998</v>
      </c>
      <c r="U56" s="52">
        <f t="shared" si="28"/>
        <v>71673.1199999994</v>
      </c>
      <c r="V56" s="52">
        <f t="shared" si="28"/>
        <v>5837.40000000046</v>
      </c>
      <c r="W56" s="52">
        <f t="shared" si="28"/>
        <v>-114197.31</v>
      </c>
      <c r="X56" s="52">
        <f t="shared" si="28"/>
        <v>-286552.89</v>
      </c>
      <c r="Y56" s="52">
        <f t="shared" si="28"/>
        <v>108943.65</v>
      </c>
      <c r="Z56" s="52">
        <f t="shared" si="28"/>
        <v>-13920.9300000003</v>
      </c>
      <c r="AC56" s="50"/>
      <c r="AD56" s="52">
        <f>(AD48-Z48)*AC48</f>
        <v>18326.8999999997</v>
      </c>
      <c r="AE56" s="52">
        <f>(AE48-AD48)*$AC$48</f>
        <v>97319.9</v>
      </c>
      <c r="AF56" s="52">
        <f t="shared" ref="AF56:AY56" si="29">(AF48-AE48)*$AC$48</f>
        <v>44120.8000000004</v>
      </c>
      <c r="AG56" s="52">
        <f t="shared" si="29"/>
        <v>-58268.7999999994</v>
      </c>
      <c r="AH56" s="52">
        <f t="shared" si="29"/>
        <v>71918.9999999995</v>
      </c>
      <c r="AI56" s="52">
        <f t="shared" si="29"/>
        <v>67530.5000000002</v>
      </c>
      <c r="AJ56" s="52">
        <f t="shared" si="29"/>
        <v>85634.6999999999</v>
      </c>
      <c r="AK56" s="52">
        <f t="shared" si="29"/>
        <v>69574.0999999996</v>
      </c>
      <c r="AL56" s="52">
        <f t="shared" si="29"/>
        <v>-51613.9999999995</v>
      </c>
      <c r="AM56" s="52">
        <f t="shared" si="29"/>
        <v>124489.3</v>
      </c>
      <c r="AN56" s="52">
        <f t="shared" si="29"/>
        <v>-7925.50000000024</v>
      </c>
      <c r="AO56" s="52">
        <f t="shared" si="29"/>
        <v>-45509.3999999997</v>
      </c>
      <c r="AP56" s="52">
        <f t="shared" si="29"/>
        <v>41133.9999999995</v>
      </c>
      <c r="AQ56" s="52">
        <f t="shared" si="29"/>
        <v>-165911.5</v>
      </c>
      <c r="AR56" s="52">
        <f t="shared" si="29"/>
        <v>-174531.299999999</v>
      </c>
      <c r="AS56" s="52">
        <f t="shared" si="29"/>
        <v>44697.1999999999</v>
      </c>
      <c r="AT56" s="52">
        <f t="shared" si="29"/>
        <v>24457.7000000001</v>
      </c>
      <c r="AU56" s="52">
        <f t="shared" si="29"/>
        <v>-76897.000000001</v>
      </c>
      <c r="AV56" s="52">
        <f t="shared" si="29"/>
        <v>5240</v>
      </c>
      <c r="AW56" s="52">
        <f t="shared" si="29"/>
        <v>-70281.4999999995</v>
      </c>
      <c r="AX56" s="52">
        <f t="shared" si="29"/>
        <v>85752.6</v>
      </c>
      <c r="AY56" s="52">
        <f t="shared" si="29"/>
        <v>-27234.9</v>
      </c>
    </row>
    <row r="57" spans="1:51">
      <c r="A57" t="s">
        <v>107</v>
      </c>
      <c r="G57" s="3">
        <f>G56/$E$48</f>
        <v>0</v>
      </c>
      <c r="H57" s="3">
        <f t="shared" ref="H57:Z57" si="30">H56/$E$48</f>
        <v>0.00301962566288335</v>
      </c>
      <c r="I57" s="3">
        <f t="shared" si="30"/>
        <v>-0.00926069307961201</v>
      </c>
      <c r="J57" s="3">
        <f t="shared" si="30"/>
        <v>-0.0026807269440982</v>
      </c>
      <c r="K57" s="3">
        <f t="shared" si="30"/>
        <v>-0.00532591394764967</v>
      </c>
      <c r="L57" s="3">
        <f t="shared" si="30"/>
        <v>-0.00560007920329606</v>
      </c>
      <c r="M57" s="3">
        <f t="shared" si="30"/>
        <v>0.0126814123572373</v>
      </c>
      <c r="N57" s="3">
        <f t="shared" si="30"/>
        <v>8.5042000594034e-5</v>
      </c>
      <c r="O57" s="3">
        <f t="shared" si="30"/>
        <v>-0.0031033983798864</v>
      </c>
      <c r="P57" s="3">
        <f t="shared" si="30"/>
        <v>-0.0068300150029321</v>
      </c>
      <c r="Q57" s="3">
        <f t="shared" si="30"/>
        <v>0.0134569446313112</v>
      </c>
      <c r="R57" s="3">
        <f t="shared" si="30"/>
        <v>-0.0040807467449223</v>
      </c>
      <c r="S57" s="3">
        <f t="shared" si="30"/>
        <v>0.00206893225325764</v>
      </c>
      <c r="T57" s="3">
        <f t="shared" si="30"/>
        <v>-0.00427748570152032</v>
      </c>
      <c r="U57" s="3">
        <f t="shared" si="30"/>
        <v>0.00716891372171713</v>
      </c>
      <c r="V57" s="3">
        <f t="shared" si="30"/>
        <v>0.000583870451839619</v>
      </c>
      <c r="W57" s="3">
        <f t="shared" si="30"/>
        <v>-0.0114222830350094</v>
      </c>
      <c r="X57" s="3">
        <f t="shared" si="30"/>
        <v>-0.0286616927673683</v>
      </c>
      <c r="Y57" s="3">
        <f t="shared" si="30"/>
        <v>0.0108967996283538</v>
      </c>
      <c r="Z57" s="3">
        <f t="shared" si="30"/>
        <v>-0.00139240409927832</v>
      </c>
      <c r="AA57" s="4"/>
      <c r="AC57" s="50"/>
      <c r="AD57" s="3">
        <f>AD56/$AB$48</f>
        <v>0.00183268999917305</v>
      </c>
      <c r="AE57" s="3">
        <f>AE56/$AB$48</f>
        <v>0.00973198999560887</v>
      </c>
      <c r="AF57" s="3">
        <f t="shared" ref="AF57:AY57" si="31">AF56/$AB$48</f>
        <v>0.00441207999800928</v>
      </c>
      <c r="AG57" s="3">
        <f t="shared" si="31"/>
        <v>-0.00582687999737082</v>
      </c>
      <c r="AH57" s="3">
        <f t="shared" si="31"/>
        <v>0.00719189999675493</v>
      </c>
      <c r="AI57" s="3">
        <f t="shared" si="31"/>
        <v>0.00675304999695301</v>
      </c>
      <c r="AJ57" s="3">
        <f t="shared" si="31"/>
        <v>0.0085634699961361</v>
      </c>
      <c r="AK57" s="3">
        <f t="shared" si="31"/>
        <v>0.00695740999686074</v>
      </c>
      <c r="AL57" s="3">
        <f t="shared" si="31"/>
        <v>-0.0051613999976711</v>
      </c>
      <c r="AM57" s="3">
        <f t="shared" si="31"/>
        <v>0.0124489299943829</v>
      </c>
      <c r="AN57" s="3">
        <f t="shared" si="31"/>
        <v>-0.000792549999642421</v>
      </c>
      <c r="AO57" s="3">
        <f t="shared" si="31"/>
        <v>-0.00455093999794656</v>
      </c>
      <c r="AP57" s="3">
        <f t="shared" si="31"/>
        <v>0.00411339999814396</v>
      </c>
      <c r="AQ57" s="3">
        <f t="shared" si="31"/>
        <v>-0.0165911499925139</v>
      </c>
      <c r="AR57" s="3">
        <f t="shared" si="31"/>
        <v>-0.017453129992125</v>
      </c>
      <c r="AS57" s="3">
        <f t="shared" si="31"/>
        <v>0.00446971999798322</v>
      </c>
      <c r="AT57" s="3">
        <f t="shared" si="31"/>
        <v>0.00244576999889647</v>
      </c>
      <c r="AU57" s="3">
        <f t="shared" si="31"/>
        <v>-0.00768969999653046</v>
      </c>
      <c r="AV57" s="3">
        <f t="shared" si="31"/>
        <v>0.000523999999763568</v>
      </c>
      <c r="AW57" s="3">
        <f t="shared" si="31"/>
        <v>-0.00702814999682881</v>
      </c>
      <c r="AX57" s="3">
        <f t="shared" si="31"/>
        <v>0.0085752599961308</v>
      </c>
      <c r="AY57" s="3">
        <f t="shared" si="31"/>
        <v>-0.00272348999877114</v>
      </c>
    </row>
    <row r="58" spans="1:51">
      <c r="A58" t="s">
        <v>108</v>
      </c>
      <c r="G58" s="52">
        <f>G50</f>
        <v>0</v>
      </c>
      <c r="H58" s="52">
        <f>G58+H56</f>
        <v>30189.51</v>
      </c>
      <c r="I58" s="52">
        <f t="shared" ref="I58:Z58" si="32">H58+I56</f>
        <v>-62396.7300000001</v>
      </c>
      <c r="J58" s="52">
        <f t="shared" si="32"/>
        <v>-89198.01</v>
      </c>
      <c r="K58" s="52">
        <f t="shared" si="32"/>
        <v>-142445.25</v>
      </c>
      <c r="L58" s="52">
        <f t="shared" si="32"/>
        <v>-198433.53</v>
      </c>
      <c r="M58" s="52">
        <f t="shared" si="32"/>
        <v>-71647.74</v>
      </c>
      <c r="N58" s="52">
        <f t="shared" si="32"/>
        <v>-70797.5099999999</v>
      </c>
      <c r="O58" s="52">
        <f t="shared" si="32"/>
        <v>-101824.56</v>
      </c>
      <c r="P58" s="52">
        <f t="shared" si="32"/>
        <v>-170109.45</v>
      </c>
      <c r="Q58" s="52">
        <f t="shared" si="32"/>
        <v>-35570.0699999997</v>
      </c>
      <c r="R58" s="52">
        <f t="shared" si="32"/>
        <v>-76368.4200000003</v>
      </c>
      <c r="S58" s="52">
        <f t="shared" si="32"/>
        <v>-55683.7200000001</v>
      </c>
      <c r="T58" s="52">
        <f t="shared" si="32"/>
        <v>-98449.0199999999</v>
      </c>
      <c r="U58" s="52">
        <f t="shared" si="32"/>
        <v>-26775.9000000004</v>
      </c>
      <c r="V58" s="52">
        <f t="shared" si="32"/>
        <v>-20938.5</v>
      </c>
      <c r="W58" s="52">
        <f t="shared" si="32"/>
        <v>-135135.81</v>
      </c>
      <c r="X58" s="52">
        <f t="shared" si="32"/>
        <v>-421688.7</v>
      </c>
      <c r="Y58" s="52">
        <f t="shared" si="32"/>
        <v>-312745.05</v>
      </c>
      <c r="Z58" s="52">
        <f t="shared" si="32"/>
        <v>-326665.98</v>
      </c>
      <c r="AC58" s="50"/>
      <c r="AD58" s="52">
        <f>Z58+AD56</f>
        <v>-308339.08</v>
      </c>
      <c r="AE58" s="52">
        <f>AD58+AE56</f>
        <v>-211019.18</v>
      </c>
      <c r="AF58" s="52">
        <f>AE58+AF56</f>
        <v>-166898.38</v>
      </c>
      <c r="AG58" s="52">
        <f t="shared" ref="AG58:AY58" si="33">AF58+AG56</f>
        <v>-225167.179999999</v>
      </c>
      <c r="AH58" s="52">
        <f t="shared" si="33"/>
        <v>-153248.18</v>
      </c>
      <c r="AI58" s="52">
        <f t="shared" si="33"/>
        <v>-85717.6799999996</v>
      </c>
      <c r="AJ58" s="52">
        <f t="shared" si="33"/>
        <v>-82.9799999997922</v>
      </c>
      <c r="AK58" s="52">
        <f t="shared" si="33"/>
        <v>69491.1199999998</v>
      </c>
      <c r="AL58" s="52">
        <f t="shared" si="33"/>
        <v>17877.1200000003</v>
      </c>
      <c r="AM58" s="52">
        <f t="shared" si="33"/>
        <v>142366.42</v>
      </c>
      <c r="AN58" s="52">
        <f t="shared" si="33"/>
        <v>134440.92</v>
      </c>
      <c r="AO58" s="52">
        <f t="shared" si="33"/>
        <v>88931.52</v>
      </c>
      <c r="AP58" s="52">
        <f t="shared" si="33"/>
        <v>130065.519999999</v>
      </c>
      <c r="AQ58" s="52">
        <f t="shared" si="33"/>
        <v>-35845.98</v>
      </c>
      <c r="AR58" s="52">
        <f t="shared" si="33"/>
        <v>-210377.279999999</v>
      </c>
      <c r="AS58" s="52">
        <f t="shared" si="33"/>
        <v>-165680.08</v>
      </c>
      <c r="AT58" s="52">
        <f t="shared" si="33"/>
        <v>-141222.38</v>
      </c>
      <c r="AU58" s="52">
        <f t="shared" si="33"/>
        <v>-218119.38</v>
      </c>
      <c r="AV58" s="52">
        <f t="shared" si="33"/>
        <v>-212879.38</v>
      </c>
      <c r="AW58" s="52">
        <f t="shared" si="33"/>
        <v>-283160.88</v>
      </c>
      <c r="AX58" s="52">
        <f t="shared" si="33"/>
        <v>-197408.28</v>
      </c>
      <c r="AY58" s="52">
        <f t="shared" si="33"/>
        <v>-224643.18</v>
      </c>
    </row>
    <row r="59" spans="1:51">
      <c r="A59" t="s">
        <v>109</v>
      </c>
      <c r="G59" s="3">
        <f>G58/$E$46</f>
        <v>0</v>
      </c>
      <c r="H59" s="3">
        <f t="shared" ref="H59:Z59" si="34">H58/$E$46</f>
        <v>0.003018951</v>
      </c>
      <c r="I59" s="3">
        <f t="shared" si="34"/>
        <v>-0.00623967300000002</v>
      </c>
      <c r="J59" s="3">
        <f t="shared" si="34"/>
        <v>-0.00891980100000001</v>
      </c>
      <c r="K59" s="3">
        <f t="shared" si="34"/>
        <v>-0.014244525</v>
      </c>
      <c r="L59" s="3">
        <f t="shared" si="34"/>
        <v>-0.019843353</v>
      </c>
      <c r="M59" s="3">
        <f t="shared" si="34"/>
        <v>-0.00716477400000002</v>
      </c>
      <c r="N59" s="3">
        <f t="shared" si="34"/>
        <v>-0.00707975100000001</v>
      </c>
      <c r="O59" s="3">
        <f t="shared" si="34"/>
        <v>-0.010182456</v>
      </c>
      <c r="P59" s="3">
        <f t="shared" si="34"/>
        <v>-0.0170109450000001</v>
      </c>
      <c r="Q59" s="3">
        <f t="shared" si="34"/>
        <v>-0.00355700699999997</v>
      </c>
      <c r="R59" s="3">
        <f t="shared" si="34"/>
        <v>-0.00763684200000005</v>
      </c>
      <c r="S59" s="3">
        <f t="shared" si="34"/>
        <v>-0.00556837200000002</v>
      </c>
      <c r="T59" s="3">
        <f t="shared" si="34"/>
        <v>-0.00984490200000001</v>
      </c>
      <c r="U59" s="3">
        <f t="shared" si="34"/>
        <v>-0.00267759000000005</v>
      </c>
      <c r="V59" s="3">
        <f t="shared" si="34"/>
        <v>-0.00209385</v>
      </c>
      <c r="W59" s="3">
        <f t="shared" si="34"/>
        <v>-0.013513581</v>
      </c>
      <c r="X59" s="3">
        <f t="shared" si="34"/>
        <v>-0.0421688700000001</v>
      </c>
      <c r="Y59" s="3">
        <f t="shared" si="34"/>
        <v>-0.031274505</v>
      </c>
      <c r="Z59" s="3">
        <f t="shared" si="34"/>
        <v>-0.0326665980000001</v>
      </c>
      <c r="AC59" s="50"/>
      <c r="AD59" s="3">
        <f>AD58/$AB$48</f>
        <v>-0.0308339079860876</v>
      </c>
      <c r="AE59" s="3">
        <f t="shared" ref="AE59:AY59" si="35">AE58/$AB$48</f>
        <v>-0.0211019179904787</v>
      </c>
      <c r="AF59" s="3">
        <f t="shared" si="35"/>
        <v>-0.0166898379924695</v>
      </c>
      <c r="AG59" s="3">
        <f t="shared" si="35"/>
        <v>-0.0225167179898403</v>
      </c>
      <c r="AH59" s="3">
        <f t="shared" si="35"/>
        <v>-0.0153248179930853</v>
      </c>
      <c r="AI59" s="3">
        <f t="shared" si="35"/>
        <v>-0.00857176799613234</v>
      </c>
      <c r="AJ59" s="3">
        <f t="shared" si="35"/>
        <v>-8.29799999623512e-6</v>
      </c>
      <c r="AK59" s="3">
        <f t="shared" si="35"/>
        <v>0.0069491119968645</v>
      </c>
      <c r="AL59" s="3">
        <f t="shared" si="35"/>
        <v>0.0017877119991934</v>
      </c>
      <c r="AM59" s="3">
        <f t="shared" si="35"/>
        <v>0.0142366419935763</v>
      </c>
      <c r="AN59" s="3">
        <f t="shared" si="35"/>
        <v>0.0134440919939339</v>
      </c>
      <c r="AO59" s="3">
        <f t="shared" si="35"/>
        <v>0.00889315199598736</v>
      </c>
      <c r="AP59" s="3">
        <f t="shared" si="35"/>
        <v>0.0130065519941313</v>
      </c>
      <c r="AQ59" s="3">
        <f t="shared" si="35"/>
        <v>-0.00358459799838261</v>
      </c>
      <c r="AR59" s="3">
        <f t="shared" si="35"/>
        <v>-0.0210377279905076</v>
      </c>
      <c r="AS59" s="3">
        <f t="shared" si="35"/>
        <v>-0.0165680079925244</v>
      </c>
      <c r="AT59" s="3">
        <f t="shared" si="35"/>
        <v>-0.0141222379936279</v>
      </c>
      <c r="AU59" s="3">
        <f t="shared" si="35"/>
        <v>-0.0218119379901584</v>
      </c>
      <c r="AV59" s="3">
        <f t="shared" si="35"/>
        <v>-0.0212879379903948</v>
      </c>
      <c r="AW59" s="3">
        <f t="shared" si="35"/>
        <v>-0.0283160879872236</v>
      </c>
      <c r="AX59" s="3">
        <f t="shared" si="35"/>
        <v>-0.0197408279910928</v>
      </c>
      <c r="AY59" s="3">
        <f t="shared" si="35"/>
        <v>-0.022464317989864</v>
      </c>
    </row>
    <row r="60" spans="29:29">
      <c r="AC60" s="50"/>
    </row>
    <row r="61" spans="29:29">
      <c r="AC61" s="50"/>
    </row>
    <row r="62" spans="1:51">
      <c r="A62" t="s">
        <v>110</v>
      </c>
      <c r="G62" s="52">
        <v>0</v>
      </c>
      <c r="H62" s="52" cm="1">
        <f t="array" ref="H62">SUMPRODUCT(H5:H44-G5:G44,$F$5:$F$44)</f>
        <v>39780.16</v>
      </c>
      <c r="I62" s="52" cm="1">
        <f t="array" ref="I62">SUMPRODUCT(I5:I44-H5:H44,$F$5:$F$44)</f>
        <v>-95004.1100000001</v>
      </c>
      <c r="J62" s="52" cm="1">
        <f t="array" ref="J62">SUMPRODUCT(J5:J44-I5:I44,$F$5:$F$44)</f>
        <v>-14612.7399999999</v>
      </c>
      <c r="K62" s="52" cm="1">
        <f t="array" ref="K62">SUMPRODUCT(K5:K44-J5:J44,$F$5:$F$44)</f>
        <v>-48298.1300000003</v>
      </c>
      <c r="L62" s="52" cm="1">
        <f t="array" ref="L62">SUMPRODUCT(L5:L44-K5:K44,$F$5:$F$44)</f>
        <v>-101487.91</v>
      </c>
      <c r="M62" s="52" cm="1">
        <f t="array" ref="M62">SUMPRODUCT(M5:M44-L5:L44,$F$5:$F$44)</f>
        <v>83316.1950000001</v>
      </c>
      <c r="N62" s="52" cm="1">
        <f t="array" ref="N62">SUMPRODUCT(N5:N44-M5:M44,$F$5:$F$44)</f>
        <v>30747.9799999999</v>
      </c>
      <c r="O62" s="52" cm="1">
        <f t="array" ref="O62">SUMPRODUCT(O5:O44-N5:N44,$F$5:$F$44)</f>
        <v>-19716.9200000001</v>
      </c>
      <c r="P62" s="52" cm="1">
        <f t="array" ref="P62">SUMPRODUCT(P5:P44-O5:O44,$F$5:$F$44)</f>
        <v>-12589.38</v>
      </c>
      <c r="Q62" s="52" cm="1">
        <f t="array" ref="Q62">SUMPRODUCT(Q5:Q44-P5:P44,$F$5:$F$44)</f>
        <v>88595.1250000001</v>
      </c>
      <c r="R62" s="52" cm="1">
        <f t="array" ref="R62">SUMPRODUCT(R5:R44-Q5:Q44,$F$5:$F$44)</f>
        <v>-33309.7600000001</v>
      </c>
      <c r="S62" s="52" cm="1">
        <f t="array" ref="S62">SUMPRODUCT(S5:S44-R5:R44,$F$5:$F$44)</f>
        <v>52913.825</v>
      </c>
      <c r="T62" s="52" cm="1">
        <f t="array" ref="T62">SUMPRODUCT(T5:T44-S5:S44,$F$5:$F$44)</f>
        <v>-91772.9950000001</v>
      </c>
      <c r="U62" s="52" cm="1">
        <f t="array" ref="U62">SUMPRODUCT(U5:U44-T5:T44,$F$5:$F$44)</f>
        <v>49473.6749999999</v>
      </c>
      <c r="V62" s="52" cm="1">
        <f t="array" ref="V62">SUMPRODUCT(V5:V44-U5:U44,$F$5:$F$44)</f>
        <v>-5244.46499999995</v>
      </c>
      <c r="W62" s="52" cm="1">
        <f t="array" ref="W62">SUMPRODUCT(W5:W44-V5:V44,$F$5:$F$44)</f>
        <v>-112340.47</v>
      </c>
      <c r="X62" s="52" cm="1">
        <f t="array" ref="X62">SUMPRODUCT(X5:X44-W5:W44,$F$5:$F$44)</f>
        <v>-227087.94</v>
      </c>
      <c r="Y62" s="52" cm="1">
        <f t="array" ref="Y62">SUMPRODUCT(Y5:Y44-X5:X44,$F$5:$F$44)</f>
        <v>55125.605</v>
      </c>
      <c r="Z62" s="52" cm="1">
        <f t="array" ref="Z62">SUMPRODUCT(Z5:Z44-Y5:Y44,$F$5:$F$44)</f>
        <v>4492.1899999999</v>
      </c>
      <c r="AC62" s="50"/>
      <c r="AD62" s="52" cm="1">
        <f t="array" ref="AD62">SUMPRODUCT(AD5:AD44-Z5:Z44,$AC$5:$AC$44)</f>
        <v>15972.537</v>
      </c>
      <c r="AE62" s="52" cm="1">
        <f t="array" ref="AE62">SUMPRODUCT(AE5:AE44-AD5:AD44,$AC$5:$AC$44)</f>
        <v>108533.214</v>
      </c>
      <c r="AF62" s="52" cm="1">
        <f t="array" ref="AF62">SUMPRODUCT(AF5:AF44-AE5:AE44,$AC$5:$AC$44)</f>
        <v>58824.6400000001</v>
      </c>
      <c r="AG62" s="52" cm="1">
        <f t="array" ref="AG62">SUMPRODUCT(AG5:AG44-AF5:AF44,$AC$5:$AC$44)</f>
        <v>-49643.0930000001</v>
      </c>
      <c r="AH62" s="52" cm="1">
        <f t="array" ref="AH62">SUMPRODUCT(AH5:AH44-AG5:AG44,$AC$5:$AC$44)</f>
        <v>42152.7870000001</v>
      </c>
      <c r="AI62" s="52" cm="1">
        <f t="array" ref="AI62">SUMPRODUCT(AI5:AI44-AH5:AH44,$AC$5:$AC$44)</f>
        <v>76956.4509999998</v>
      </c>
      <c r="AJ62" s="52" cm="1">
        <f t="array" ref="AJ62">SUMPRODUCT(AJ5:AJ44-AI5:AI44,$AC$5:$AC$44)</f>
        <v>62160.1340000002</v>
      </c>
      <c r="AK62" s="52" cm="1">
        <f t="array" ref="AK62">SUMPRODUCT(AK5:AK44-AJ5:AJ44,$AC$5:$AC$44)</f>
        <v>74071.5899999998</v>
      </c>
      <c r="AL62" s="52" cm="1">
        <f t="array" ref="AL62">SUMPRODUCT(AL5:AL44-AK5:AK44,$AC$5:$AC$44)</f>
        <v>-41014.7439999999</v>
      </c>
      <c r="AM62" s="52" cm="1">
        <f t="array" ref="AM62">SUMPRODUCT(AM5:AM44-AL5:AL44,$AC$5:$AC$44)</f>
        <v>120631.529</v>
      </c>
      <c r="AN62" s="52" cm="1">
        <f t="array" ref="AN62">SUMPRODUCT(AN5:AN44-AM5:AM44,$AC$5:$AC$44)</f>
        <v>21742.007</v>
      </c>
      <c r="AO62" s="52" cm="1">
        <f t="array" ref="AO62">SUMPRODUCT(AO5:AO44-AN5:AN44,$AC$5:$AC$44)</f>
        <v>-63030.9489999999</v>
      </c>
      <c r="AP62" s="52" cm="1">
        <f t="array" ref="AP62">SUMPRODUCT(AP5:AP44-AO5:AO44,$AC$5:$AC$44)</f>
        <v>53011.7729999999</v>
      </c>
      <c r="AQ62" s="52" cm="1">
        <f t="array" ref="AQ62">SUMPRODUCT(AQ5:AQ44-AP5:AP44,$AC$5:$AC$44)</f>
        <v>-159065.912</v>
      </c>
      <c r="AR62" s="52" cm="1">
        <f t="array" ref="AR62">SUMPRODUCT(AR5:AR44-AQ5:AQ44,$AC$5:$AC$44)</f>
        <v>-185207.18</v>
      </c>
      <c r="AS62" s="52" cm="1">
        <f t="array" ref="AS62">SUMPRODUCT(AS5:AS44-AR5:AR44,$AC$5:$AC$44)</f>
        <v>6126.92299999985</v>
      </c>
      <c r="AT62" s="52" cm="1">
        <f t="array" ref="AT62">SUMPRODUCT(AT5:AT44-AS5:AS44,$AC$5:$AC$44)</f>
        <v>15529.3160000002</v>
      </c>
      <c r="AU62" s="52" cm="1">
        <f t="array" ref="AU62">SUMPRODUCT(AU5:AU44-AT5:AT44,$AC$5:$AC$44)</f>
        <v>-71169.8430000001</v>
      </c>
      <c r="AV62" s="52" cm="1">
        <f t="array" ref="AV62">SUMPRODUCT(AV5:AV44-AU5:AU44,$AC$5:$AC$44)</f>
        <v>223.317999999963</v>
      </c>
      <c r="AW62" s="52" cm="1">
        <f t="array" ref="AW62">SUMPRODUCT(AW5:AW44-AV5:AV44,$AC$5:$AC$44)</f>
        <v>-97422.9350000001</v>
      </c>
      <c r="AX62" s="52" cm="1">
        <f t="array" ref="AX62">SUMPRODUCT(AX5:AX44-AW5:AW44,$AC$5:$AC$44)</f>
        <v>62791.2360000001</v>
      </c>
      <c r="AY62" s="52" cm="1">
        <f t="array" ref="AY62">SUMPRODUCT(AY5:AY44-AX5:AX44,$AC$5:$AC$44)</f>
        <v>13796.0329999999</v>
      </c>
    </row>
    <row r="63" spans="1:51">
      <c r="A63" t="s">
        <v>111</v>
      </c>
      <c r="G63" s="3">
        <f>G62/$D$1</f>
        <v>0</v>
      </c>
      <c r="H63" s="3">
        <f t="shared" ref="H63:Z63" si="36">H62/$D$1</f>
        <v>0.003978016</v>
      </c>
      <c r="I63" s="3">
        <f t="shared" si="36"/>
        <v>-0.00950041100000001</v>
      </c>
      <c r="J63" s="3">
        <f t="shared" si="36"/>
        <v>-0.00146127399999999</v>
      </c>
      <c r="K63" s="3">
        <f t="shared" si="36"/>
        <v>-0.00482981300000002</v>
      </c>
      <c r="L63" s="3">
        <f t="shared" si="36"/>
        <v>-0.010148791</v>
      </c>
      <c r="M63" s="3">
        <f t="shared" si="36"/>
        <v>0.00833161950000001</v>
      </c>
      <c r="N63" s="3">
        <f t="shared" si="36"/>
        <v>0.00307479799999999</v>
      </c>
      <c r="O63" s="3">
        <f t="shared" si="36"/>
        <v>-0.00197169200000001</v>
      </c>
      <c r="P63" s="3">
        <f t="shared" si="36"/>
        <v>-0.001258938</v>
      </c>
      <c r="Q63" s="3">
        <f t="shared" si="36"/>
        <v>0.00885951250000001</v>
      </c>
      <c r="R63" s="3">
        <f t="shared" si="36"/>
        <v>-0.00333097600000001</v>
      </c>
      <c r="S63" s="3">
        <f t="shared" si="36"/>
        <v>0.0052913825</v>
      </c>
      <c r="T63" s="3">
        <f t="shared" si="36"/>
        <v>-0.0091772995</v>
      </c>
      <c r="U63" s="3">
        <f t="shared" si="36"/>
        <v>0.00494736749999999</v>
      </c>
      <c r="V63" s="3">
        <f t="shared" si="36"/>
        <v>-0.000524446499999995</v>
      </c>
      <c r="W63" s="3">
        <f t="shared" si="36"/>
        <v>-0.011234047</v>
      </c>
      <c r="X63" s="3">
        <f t="shared" si="36"/>
        <v>-0.022708794</v>
      </c>
      <c r="Y63" s="3">
        <f t="shared" si="36"/>
        <v>0.0055125605</v>
      </c>
      <c r="Z63" s="3">
        <f t="shared" si="36"/>
        <v>0.00044921899999999</v>
      </c>
      <c r="AC63" s="50"/>
      <c r="AD63" s="3">
        <f>AD62/$D$1</f>
        <v>0.0015972537</v>
      </c>
      <c r="AE63" s="3">
        <f t="shared" ref="AE63:AY63" si="37">AE62/$D$1</f>
        <v>0.0108533214</v>
      </c>
      <c r="AF63" s="3">
        <f t="shared" si="37"/>
        <v>0.00588246400000001</v>
      </c>
      <c r="AG63" s="3">
        <f t="shared" si="37"/>
        <v>-0.00496430930000001</v>
      </c>
      <c r="AH63" s="3">
        <f t="shared" si="37"/>
        <v>0.00421527870000001</v>
      </c>
      <c r="AI63" s="3">
        <f t="shared" si="37"/>
        <v>0.00769564509999998</v>
      </c>
      <c r="AJ63" s="3">
        <f t="shared" si="37"/>
        <v>0.00621601340000002</v>
      </c>
      <c r="AK63" s="3">
        <f t="shared" si="37"/>
        <v>0.00740715899999998</v>
      </c>
      <c r="AL63" s="3">
        <f t="shared" si="37"/>
        <v>-0.00410147439999999</v>
      </c>
      <c r="AM63" s="3">
        <f t="shared" si="37"/>
        <v>0.0120631529</v>
      </c>
      <c r="AN63" s="3">
        <f t="shared" si="37"/>
        <v>0.0021742007</v>
      </c>
      <c r="AO63" s="3">
        <f t="shared" si="37"/>
        <v>-0.00630309489999999</v>
      </c>
      <c r="AP63" s="3">
        <f t="shared" si="37"/>
        <v>0.00530117729999999</v>
      </c>
      <c r="AQ63" s="3">
        <f t="shared" si="37"/>
        <v>-0.0159065912</v>
      </c>
      <c r="AR63" s="3">
        <f t="shared" si="37"/>
        <v>-0.018520718</v>
      </c>
      <c r="AS63" s="3">
        <f t="shared" si="37"/>
        <v>0.000612692299999985</v>
      </c>
      <c r="AT63" s="3">
        <f t="shared" si="37"/>
        <v>0.00155293160000002</v>
      </c>
      <c r="AU63" s="3">
        <f t="shared" si="37"/>
        <v>-0.00711698430000001</v>
      </c>
      <c r="AV63" s="3">
        <f t="shared" si="37"/>
        <v>2.23317999999963e-5</v>
      </c>
      <c r="AW63" s="3">
        <f t="shared" si="37"/>
        <v>-0.00974229350000001</v>
      </c>
      <c r="AX63" s="3">
        <f t="shared" si="37"/>
        <v>0.00627912360000001</v>
      </c>
      <c r="AY63" s="3">
        <f t="shared" si="37"/>
        <v>0.00137960329999999</v>
      </c>
    </row>
    <row r="64" spans="1:51">
      <c r="A64" t="s">
        <v>112</v>
      </c>
      <c r="G64" s="52">
        <f>G62</f>
        <v>0</v>
      </c>
      <c r="H64" s="52">
        <f>G64+H62</f>
        <v>39780.16</v>
      </c>
      <c r="I64" s="52">
        <f t="shared" ref="I64:Z64" si="38">H64+I62</f>
        <v>-55223.95</v>
      </c>
      <c r="J64" s="52">
        <f t="shared" si="38"/>
        <v>-69836.6899999999</v>
      </c>
      <c r="K64" s="52">
        <f t="shared" si="38"/>
        <v>-118134.82</v>
      </c>
      <c r="L64" s="52">
        <f t="shared" si="38"/>
        <v>-219622.73</v>
      </c>
      <c r="M64" s="52">
        <f t="shared" si="38"/>
        <v>-136306.535</v>
      </c>
      <c r="N64" s="52">
        <f t="shared" si="38"/>
        <v>-105558.555</v>
      </c>
      <c r="O64" s="52">
        <f t="shared" si="38"/>
        <v>-125275.475</v>
      </c>
      <c r="P64" s="52">
        <f t="shared" si="38"/>
        <v>-137864.855</v>
      </c>
      <c r="Q64" s="52">
        <f t="shared" si="38"/>
        <v>-49269.73</v>
      </c>
      <c r="R64" s="52">
        <f t="shared" si="38"/>
        <v>-82579.49</v>
      </c>
      <c r="S64" s="52">
        <f t="shared" si="38"/>
        <v>-29665.665</v>
      </c>
      <c r="T64" s="52">
        <f t="shared" si="38"/>
        <v>-121438.66</v>
      </c>
      <c r="U64" s="52">
        <f t="shared" si="38"/>
        <v>-71964.9850000001</v>
      </c>
      <c r="V64" s="52">
        <f t="shared" si="38"/>
        <v>-77209.4500000001</v>
      </c>
      <c r="W64" s="52">
        <f t="shared" si="38"/>
        <v>-189549.92</v>
      </c>
      <c r="X64" s="52">
        <f t="shared" si="38"/>
        <v>-416637.86</v>
      </c>
      <c r="Y64" s="52">
        <f t="shared" si="38"/>
        <v>-361512.255</v>
      </c>
      <c r="Z64" s="52">
        <f t="shared" si="38"/>
        <v>-357020.065</v>
      </c>
      <c r="AC64" s="50"/>
      <c r="AD64" s="52">
        <f>Z64+AD62</f>
        <v>-341047.528</v>
      </c>
      <c r="AE64" s="52">
        <f t="shared" ref="AE64:AY64" si="39">AD64+AE62</f>
        <v>-232514.314</v>
      </c>
      <c r="AF64" s="52">
        <f t="shared" si="39"/>
        <v>-173689.674</v>
      </c>
      <c r="AG64" s="52">
        <f t="shared" si="39"/>
        <v>-223332.767</v>
      </c>
      <c r="AH64" s="52">
        <f t="shared" si="39"/>
        <v>-181179.98</v>
      </c>
      <c r="AI64" s="52">
        <f t="shared" si="39"/>
        <v>-104223.529</v>
      </c>
      <c r="AJ64" s="52">
        <f t="shared" si="39"/>
        <v>-42063.395</v>
      </c>
      <c r="AK64" s="52">
        <f t="shared" si="39"/>
        <v>32008.1949999998</v>
      </c>
      <c r="AL64" s="52">
        <f t="shared" si="39"/>
        <v>-9006.54900000012</v>
      </c>
      <c r="AM64" s="52">
        <f t="shared" si="39"/>
        <v>111624.98</v>
      </c>
      <c r="AN64" s="52">
        <f t="shared" si="39"/>
        <v>133366.987</v>
      </c>
      <c r="AO64" s="52">
        <f t="shared" si="39"/>
        <v>70336.0379999998</v>
      </c>
      <c r="AP64" s="52">
        <f t="shared" si="39"/>
        <v>123347.811</v>
      </c>
      <c r="AQ64" s="52">
        <f t="shared" si="39"/>
        <v>-35718.1010000001</v>
      </c>
      <c r="AR64" s="52">
        <f t="shared" si="39"/>
        <v>-220925.281</v>
      </c>
      <c r="AS64" s="52">
        <f t="shared" si="39"/>
        <v>-214798.358</v>
      </c>
      <c r="AT64" s="52">
        <f t="shared" si="39"/>
        <v>-199269.042</v>
      </c>
      <c r="AU64" s="52">
        <f t="shared" si="39"/>
        <v>-270438.885</v>
      </c>
      <c r="AV64" s="52">
        <f t="shared" si="39"/>
        <v>-270215.567</v>
      </c>
      <c r="AW64" s="52">
        <f t="shared" si="39"/>
        <v>-367638.502</v>
      </c>
      <c r="AX64" s="52">
        <f t="shared" si="39"/>
        <v>-304847.266</v>
      </c>
      <c r="AY64" s="52">
        <f t="shared" si="39"/>
        <v>-291051.233</v>
      </c>
    </row>
    <row r="65" spans="1:51">
      <c r="A65" t="s">
        <v>113</v>
      </c>
      <c r="G65" s="3">
        <f>G64/$D$1</f>
        <v>0</v>
      </c>
      <c r="H65" s="3">
        <f t="shared" ref="H65:Z65" si="40">H64/$D$1</f>
        <v>0.003978016</v>
      </c>
      <c r="I65" s="3">
        <f t="shared" si="40"/>
        <v>-0.005522395</v>
      </c>
      <c r="J65" s="3">
        <f t="shared" si="40"/>
        <v>-0.00698366899999999</v>
      </c>
      <c r="K65" s="3">
        <f t="shared" si="40"/>
        <v>-0.011813482</v>
      </c>
      <c r="L65" s="3">
        <f t="shared" si="40"/>
        <v>-0.021962273</v>
      </c>
      <c r="M65" s="3">
        <f t="shared" si="40"/>
        <v>-0.0136306535</v>
      </c>
      <c r="N65" s="3">
        <f t="shared" si="40"/>
        <v>-0.0105558555</v>
      </c>
      <c r="O65" s="3">
        <f t="shared" si="40"/>
        <v>-0.0125275475</v>
      </c>
      <c r="P65" s="3">
        <f t="shared" si="40"/>
        <v>-0.0137864855</v>
      </c>
      <c r="Q65" s="3">
        <f t="shared" si="40"/>
        <v>-0.004926973</v>
      </c>
      <c r="R65" s="3">
        <f t="shared" si="40"/>
        <v>-0.00825794900000001</v>
      </c>
      <c r="S65" s="3">
        <f t="shared" si="40"/>
        <v>-0.0029665665</v>
      </c>
      <c r="T65" s="3">
        <f t="shared" si="40"/>
        <v>-0.012143866</v>
      </c>
      <c r="U65" s="3">
        <f t="shared" si="40"/>
        <v>-0.00719649850000001</v>
      </c>
      <c r="V65" s="3">
        <f t="shared" si="40"/>
        <v>-0.00772094500000001</v>
      </c>
      <c r="W65" s="3">
        <f t="shared" si="40"/>
        <v>-0.018954992</v>
      </c>
      <c r="X65" s="3">
        <f t="shared" si="40"/>
        <v>-0.041663786</v>
      </c>
      <c r="Y65" s="3">
        <f t="shared" si="40"/>
        <v>-0.0361512255</v>
      </c>
      <c r="Z65" s="3">
        <f t="shared" si="40"/>
        <v>-0.0357020065</v>
      </c>
      <c r="AC65" s="50"/>
      <c r="AD65" s="3">
        <f t="shared" ref="AD65:AY65" si="41">AD64/$D$1</f>
        <v>-0.0341047528</v>
      </c>
      <c r="AE65" s="3">
        <f t="shared" si="41"/>
        <v>-0.0232514314</v>
      </c>
      <c r="AF65" s="3">
        <f t="shared" si="41"/>
        <v>-0.0173689674</v>
      </c>
      <c r="AG65" s="3">
        <f t="shared" si="41"/>
        <v>-0.0223332767</v>
      </c>
      <c r="AH65" s="3">
        <f t="shared" si="41"/>
        <v>-0.018117998</v>
      </c>
      <c r="AI65" s="3">
        <f t="shared" si="41"/>
        <v>-0.0104223529</v>
      </c>
      <c r="AJ65" s="3">
        <f t="shared" si="41"/>
        <v>-0.0042063395</v>
      </c>
      <c r="AK65" s="3">
        <f t="shared" si="41"/>
        <v>0.00320081949999998</v>
      </c>
      <c r="AL65" s="3">
        <f t="shared" si="41"/>
        <v>-0.000900654900000012</v>
      </c>
      <c r="AM65" s="3">
        <f t="shared" si="41"/>
        <v>0.011162498</v>
      </c>
      <c r="AN65" s="3">
        <f t="shared" si="41"/>
        <v>0.0133366987</v>
      </c>
      <c r="AO65" s="3">
        <f t="shared" si="41"/>
        <v>0.00703360379999998</v>
      </c>
      <c r="AP65" s="3">
        <f t="shared" si="41"/>
        <v>0.0123347811</v>
      </c>
      <c r="AQ65" s="3">
        <f t="shared" si="41"/>
        <v>-0.00357181010000001</v>
      </c>
      <c r="AR65" s="3">
        <f t="shared" si="41"/>
        <v>-0.0220925281</v>
      </c>
      <c r="AS65" s="3">
        <f t="shared" si="41"/>
        <v>-0.0214798358</v>
      </c>
      <c r="AT65" s="3">
        <f t="shared" si="41"/>
        <v>-0.0199269042</v>
      </c>
      <c r="AU65" s="3">
        <f t="shared" si="41"/>
        <v>-0.0270438885</v>
      </c>
      <c r="AV65" s="3">
        <f t="shared" si="41"/>
        <v>-0.0270215567</v>
      </c>
      <c r="AW65" s="3">
        <f t="shared" si="41"/>
        <v>-0.0367638502</v>
      </c>
      <c r="AX65" s="3">
        <f t="shared" si="41"/>
        <v>-0.0304847266</v>
      </c>
      <c r="AY65" s="3">
        <f t="shared" si="41"/>
        <v>-0.0291051233</v>
      </c>
    </row>
    <row r="66" spans="29:29">
      <c r="AC66" s="50"/>
    </row>
    <row r="67" spans="1:51">
      <c r="A67" t="s">
        <v>114</v>
      </c>
      <c r="G67" s="52">
        <f>G62-G56</f>
        <v>0</v>
      </c>
      <c r="H67" s="52">
        <f t="shared" ref="H67:Z67" si="42">H62-H56</f>
        <v>9590.65000000006</v>
      </c>
      <c r="I67" s="52">
        <f t="shared" si="42"/>
        <v>-2417.87000000001</v>
      </c>
      <c r="J67" s="52">
        <f t="shared" si="42"/>
        <v>12188.54</v>
      </c>
      <c r="K67" s="52">
        <f t="shared" si="42"/>
        <v>4949.1099999998</v>
      </c>
      <c r="L67" s="52">
        <f t="shared" si="42"/>
        <v>-45499.63</v>
      </c>
      <c r="M67" s="52">
        <f t="shared" si="42"/>
        <v>-43469.5949999997</v>
      </c>
      <c r="N67" s="52">
        <f t="shared" si="42"/>
        <v>29897.7499999999</v>
      </c>
      <c r="O67" s="52">
        <f t="shared" si="42"/>
        <v>11310.1299999997</v>
      </c>
      <c r="P67" s="52">
        <f t="shared" si="42"/>
        <v>55695.5100000005</v>
      </c>
      <c r="Q67" s="52">
        <f t="shared" si="42"/>
        <v>-45944.2550000005</v>
      </c>
      <c r="R67" s="52">
        <f t="shared" si="42"/>
        <v>7488.59000000064</v>
      </c>
      <c r="S67" s="52">
        <f t="shared" si="42"/>
        <v>32229.1249999998</v>
      </c>
      <c r="T67" s="52">
        <f t="shared" si="42"/>
        <v>-49007.6950000003</v>
      </c>
      <c r="U67" s="52">
        <f t="shared" si="42"/>
        <v>-22199.4449999995</v>
      </c>
      <c r="V67" s="52">
        <f t="shared" si="42"/>
        <v>-11081.8650000004</v>
      </c>
      <c r="W67" s="52">
        <f t="shared" si="42"/>
        <v>1856.83999999972</v>
      </c>
      <c r="X67" s="52">
        <f t="shared" si="42"/>
        <v>59464.9500000005</v>
      </c>
      <c r="Y67" s="52">
        <f t="shared" si="42"/>
        <v>-53818.0450000004</v>
      </c>
      <c r="Z67" s="52">
        <f t="shared" si="42"/>
        <v>18413.1200000002</v>
      </c>
      <c r="AC67" s="50"/>
      <c r="AD67" s="52">
        <f>AD62-AD56</f>
        <v>-2354.36299999967</v>
      </c>
      <c r="AE67" s="52">
        <f>AE62-AE56</f>
        <v>11213.314</v>
      </c>
      <c r="AF67" s="52">
        <f t="shared" ref="AF67:AY67" si="43">AF62-AF56</f>
        <v>14703.8399999997</v>
      </c>
      <c r="AG67" s="52">
        <f t="shared" si="43"/>
        <v>8625.70699999933</v>
      </c>
      <c r="AH67" s="52">
        <f t="shared" si="43"/>
        <v>-29766.2129999994</v>
      </c>
      <c r="AI67" s="52">
        <f t="shared" si="43"/>
        <v>9425.95099999958</v>
      </c>
      <c r="AJ67" s="52">
        <f t="shared" si="43"/>
        <v>-23474.5659999996</v>
      </c>
      <c r="AK67" s="52">
        <f t="shared" si="43"/>
        <v>4497.49000000022</v>
      </c>
      <c r="AL67" s="52">
        <f t="shared" si="43"/>
        <v>10599.2559999996</v>
      </c>
      <c r="AM67" s="52">
        <f t="shared" si="43"/>
        <v>-3857.7709999998</v>
      </c>
      <c r="AN67" s="52">
        <f t="shared" si="43"/>
        <v>29667.5070000003</v>
      </c>
      <c r="AO67" s="52">
        <f t="shared" si="43"/>
        <v>-17521.5490000002</v>
      </c>
      <c r="AP67" s="52">
        <f t="shared" si="43"/>
        <v>11877.7730000004</v>
      </c>
      <c r="AQ67" s="52">
        <f t="shared" si="43"/>
        <v>6845.58799999964</v>
      </c>
      <c r="AR67" s="52">
        <f t="shared" si="43"/>
        <v>-10675.8800000006</v>
      </c>
      <c r="AS67" s="52">
        <f t="shared" si="43"/>
        <v>-38570.277</v>
      </c>
      <c r="AT67" s="52">
        <f t="shared" si="43"/>
        <v>-8928.38399999986</v>
      </c>
      <c r="AU67" s="52">
        <f t="shared" si="43"/>
        <v>5727.15700000087</v>
      </c>
      <c r="AV67" s="52">
        <f t="shared" si="43"/>
        <v>-5016.68200000004</v>
      </c>
      <c r="AW67" s="52">
        <f t="shared" si="43"/>
        <v>-27141.4350000005</v>
      </c>
      <c r="AX67" s="52">
        <f t="shared" si="43"/>
        <v>-22961.364</v>
      </c>
      <c r="AY67" s="52">
        <f t="shared" si="43"/>
        <v>41030.9329999999</v>
      </c>
    </row>
    <row r="68" spans="1:51">
      <c r="A68" t="s">
        <v>115</v>
      </c>
      <c r="G68" s="3">
        <f>G67/$D$1</f>
        <v>0</v>
      </c>
      <c r="H68" s="3">
        <f t="shared" ref="H68:Z68" si="44">H67/$D$1</f>
        <v>0.000959065000000006</v>
      </c>
      <c r="I68" s="3">
        <f t="shared" si="44"/>
        <v>-0.000241787000000001</v>
      </c>
      <c r="J68" s="3">
        <f t="shared" si="44"/>
        <v>0.001218854</v>
      </c>
      <c r="K68" s="3">
        <f t="shared" si="44"/>
        <v>0.00049491099999998</v>
      </c>
      <c r="L68" s="3">
        <f t="shared" si="44"/>
        <v>-0.004549963</v>
      </c>
      <c r="M68" s="3">
        <f t="shared" si="44"/>
        <v>-0.00434695949999997</v>
      </c>
      <c r="N68" s="3">
        <f t="shared" si="44"/>
        <v>0.00298977499999999</v>
      </c>
      <c r="O68" s="3">
        <f t="shared" si="44"/>
        <v>0.00113101299999997</v>
      </c>
      <c r="P68" s="3">
        <f t="shared" si="44"/>
        <v>0.00556955100000005</v>
      </c>
      <c r="Q68" s="3">
        <f t="shared" si="44"/>
        <v>-0.00459442550000005</v>
      </c>
      <c r="R68" s="3">
        <f t="shared" si="44"/>
        <v>0.000748859000000064</v>
      </c>
      <c r="S68" s="3">
        <f t="shared" si="44"/>
        <v>0.00322291249999998</v>
      </c>
      <c r="T68" s="3">
        <f t="shared" si="44"/>
        <v>-0.00490076950000003</v>
      </c>
      <c r="U68" s="3">
        <f t="shared" si="44"/>
        <v>-0.00221994449999995</v>
      </c>
      <c r="V68" s="3">
        <f t="shared" si="44"/>
        <v>-0.00110818650000004</v>
      </c>
      <c r="W68" s="3">
        <f t="shared" si="44"/>
        <v>0.000185683999999972</v>
      </c>
      <c r="X68" s="3">
        <f t="shared" si="44"/>
        <v>0.00594649500000005</v>
      </c>
      <c r="Y68" s="3">
        <f t="shared" si="44"/>
        <v>-0.00538180450000004</v>
      </c>
      <c r="Z68" s="3">
        <f t="shared" si="44"/>
        <v>0.00184131200000002</v>
      </c>
      <c r="AC68" s="50"/>
      <c r="AD68" s="3">
        <f>AD67/$D$1</f>
        <v>-0.000235436299999967</v>
      </c>
      <c r="AE68" s="3">
        <f>AE67/$D$1</f>
        <v>0.0011213314</v>
      </c>
      <c r="AF68" s="3">
        <f t="shared" ref="AF68:AY68" si="45">AF67/$D$1</f>
        <v>0.00147038399999997</v>
      </c>
      <c r="AG68" s="3">
        <f t="shared" si="45"/>
        <v>0.000862570699999933</v>
      </c>
      <c r="AH68" s="3">
        <f t="shared" si="45"/>
        <v>-0.00297662129999994</v>
      </c>
      <c r="AI68" s="3">
        <f t="shared" si="45"/>
        <v>0.000942595099999958</v>
      </c>
      <c r="AJ68" s="3">
        <f t="shared" si="45"/>
        <v>-0.00234745659999996</v>
      </c>
      <c r="AK68" s="3">
        <f t="shared" si="45"/>
        <v>0.000449749000000022</v>
      </c>
      <c r="AL68" s="3">
        <f t="shared" si="45"/>
        <v>0.00105992559999996</v>
      </c>
      <c r="AM68" s="3">
        <f t="shared" si="45"/>
        <v>-0.00038577709999998</v>
      </c>
      <c r="AN68" s="3">
        <f t="shared" si="45"/>
        <v>0.00296675070000003</v>
      </c>
      <c r="AO68" s="3">
        <f t="shared" si="45"/>
        <v>-0.00175215490000002</v>
      </c>
      <c r="AP68" s="3">
        <f t="shared" si="45"/>
        <v>0.00118777730000004</v>
      </c>
      <c r="AQ68" s="3">
        <f t="shared" si="45"/>
        <v>0.000684558799999964</v>
      </c>
      <c r="AR68" s="3">
        <f t="shared" si="45"/>
        <v>-0.00106758800000006</v>
      </c>
      <c r="AS68" s="3">
        <f t="shared" si="45"/>
        <v>-0.0038570277</v>
      </c>
      <c r="AT68" s="3">
        <f t="shared" si="45"/>
        <v>-0.000892838399999986</v>
      </c>
      <c r="AU68" s="3">
        <f t="shared" si="45"/>
        <v>0.000572715700000087</v>
      </c>
      <c r="AV68" s="3">
        <f t="shared" si="45"/>
        <v>-0.000501668200000004</v>
      </c>
      <c r="AW68" s="3">
        <f t="shared" si="45"/>
        <v>-0.00271414350000005</v>
      </c>
      <c r="AX68" s="3">
        <f t="shared" si="45"/>
        <v>-0.0022961364</v>
      </c>
      <c r="AY68" s="3">
        <f t="shared" si="45"/>
        <v>0.00410309329999999</v>
      </c>
    </row>
    <row r="69" spans="1:51">
      <c r="A69" t="s">
        <v>116</v>
      </c>
      <c r="G69" s="52">
        <f>G67</f>
        <v>0</v>
      </c>
      <c r="H69" s="52">
        <f>G69+H67</f>
        <v>9590.65000000006</v>
      </c>
      <c r="I69" s="52">
        <f t="shared" ref="I69:Z69" si="46">H69+I67</f>
        <v>7172.78000000005</v>
      </c>
      <c r="J69" s="52">
        <f t="shared" si="46"/>
        <v>19361.32</v>
      </c>
      <c r="K69" s="52">
        <f t="shared" si="46"/>
        <v>24310.4299999998</v>
      </c>
      <c r="L69" s="52">
        <f t="shared" si="46"/>
        <v>-21189.2000000002</v>
      </c>
      <c r="M69" s="52">
        <f t="shared" si="46"/>
        <v>-64658.7949999999</v>
      </c>
      <c r="N69" s="52">
        <f t="shared" si="46"/>
        <v>-34761.045</v>
      </c>
      <c r="O69" s="52">
        <f t="shared" si="46"/>
        <v>-23450.9150000004</v>
      </c>
      <c r="P69" s="52">
        <f t="shared" si="46"/>
        <v>32244.5950000002</v>
      </c>
      <c r="Q69" s="52">
        <f t="shared" si="46"/>
        <v>-13699.6600000003</v>
      </c>
      <c r="R69" s="52">
        <f t="shared" si="46"/>
        <v>-6211.06999999966</v>
      </c>
      <c r="S69" s="52">
        <f t="shared" si="46"/>
        <v>26018.0550000001</v>
      </c>
      <c r="T69" s="52">
        <f t="shared" si="46"/>
        <v>-22989.6400000001</v>
      </c>
      <c r="U69" s="52">
        <f t="shared" si="46"/>
        <v>-45189.0849999997</v>
      </c>
      <c r="V69" s="52">
        <f t="shared" si="46"/>
        <v>-56270.9500000001</v>
      </c>
      <c r="W69" s="52">
        <f t="shared" si="46"/>
        <v>-54414.1100000003</v>
      </c>
      <c r="X69" s="52">
        <f t="shared" si="46"/>
        <v>5050.84000000013</v>
      </c>
      <c r="Y69" s="52">
        <f t="shared" si="46"/>
        <v>-48767.2050000003</v>
      </c>
      <c r="Z69" s="52">
        <f t="shared" si="46"/>
        <v>-30354.0850000001</v>
      </c>
      <c r="AC69" s="50"/>
      <c r="AD69" s="52">
        <f>AD67+Z69</f>
        <v>-32708.4479999998</v>
      </c>
      <c r="AE69" s="52">
        <f>AD69+AE67</f>
        <v>-21495.1339999997</v>
      </c>
      <c r="AF69" s="52">
        <f t="shared" ref="AF69:AY69" si="47">AE69+AF67</f>
        <v>-6791.29399999998</v>
      </c>
      <c r="AG69" s="52">
        <f t="shared" si="47"/>
        <v>1834.41299999935</v>
      </c>
      <c r="AH69" s="52">
        <f t="shared" si="47"/>
        <v>-27931.8000000001</v>
      </c>
      <c r="AI69" s="52">
        <f t="shared" si="47"/>
        <v>-18505.8490000005</v>
      </c>
      <c r="AJ69" s="52">
        <f t="shared" si="47"/>
        <v>-41980.4150000001</v>
      </c>
      <c r="AK69" s="52">
        <f t="shared" si="47"/>
        <v>-37482.9249999999</v>
      </c>
      <c r="AL69" s="52">
        <f t="shared" si="47"/>
        <v>-26883.6690000003</v>
      </c>
      <c r="AM69" s="52">
        <f t="shared" si="47"/>
        <v>-30741.4400000001</v>
      </c>
      <c r="AN69" s="52">
        <f t="shared" si="47"/>
        <v>-1073.93299999981</v>
      </c>
      <c r="AO69" s="52">
        <f t="shared" si="47"/>
        <v>-18595.482</v>
      </c>
      <c r="AP69" s="52">
        <f t="shared" si="47"/>
        <v>-6717.70899999962</v>
      </c>
      <c r="AQ69" s="52">
        <f t="shared" si="47"/>
        <v>127.879000000015</v>
      </c>
      <c r="AR69" s="52">
        <f t="shared" si="47"/>
        <v>-10548.0010000006</v>
      </c>
      <c r="AS69" s="52">
        <f t="shared" si="47"/>
        <v>-49118.2780000006</v>
      </c>
      <c r="AT69" s="52">
        <f t="shared" si="47"/>
        <v>-58046.6620000005</v>
      </c>
      <c r="AU69" s="52">
        <f t="shared" si="47"/>
        <v>-52319.5049999996</v>
      </c>
      <c r="AV69" s="52">
        <f t="shared" si="47"/>
        <v>-57336.1869999996</v>
      </c>
      <c r="AW69" s="52">
        <f t="shared" si="47"/>
        <v>-84477.6220000002</v>
      </c>
      <c r="AX69" s="52">
        <f t="shared" si="47"/>
        <v>-107438.986</v>
      </c>
      <c r="AY69" s="52">
        <f t="shared" si="47"/>
        <v>-66408.0530000003</v>
      </c>
    </row>
    <row r="70" spans="1:51">
      <c r="A70" t="s">
        <v>117</v>
      </c>
      <c r="G70" s="3">
        <f>G69/$D$1</f>
        <v>0</v>
      </c>
      <c r="H70" s="3">
        <f t="shared" ref="H70:Z70" si="48">H69/$D$1</f>
        <v>0.000959065000000006</v>
      </c>
      <c r="I70" s="3">
        <f t="shared" si="48"/>
        <v>0.000717278000000005</v>
      </c>
      <c r="J70" s="3">
        <f t="shared" si="48"/>
        <v>0.001936132</v>
      </c>
      <c r="K70" s="3">
        <f t="shared" si="48"/>
        <v>0.00243104299999998</v>
      </c>
      <c r="L70" s="3">
        <f t="shared" si="48"/>
        <v>-0.00211892000000002</v>
      </c>
      <c r="M70" s="3">
        <f t="shared" si="48"/>
        <v>-0.00646587949999999</v>
      </c>
      <c r="N70" s="3">
        <f t="shared" si="48"/>
        <v>-0.0034761045</v>
      </c>
      <c r="O70" s="3">
        <f t="shared" si="48"/>
        <v>-0.00234509150000004</v>
      </c>
      <c r="P70" s="3">
        <f t="shared" si="48"/>
        <v>0.00322445950000002</v>
      </c>
      <c r="Q70" s="3">
        <f t="shared" si="48"/>
        <v>-0.00136996600000003</v>
      </c>
      <c r="R70" s="3">
        <f t="shared" si="48"/>
        <v>-0.000621106999999966</v>
      </c>
      <c r="S70" s="3">
        <f t="shared" si="48"/>
        <v>0.00260180550000001</v>
      </c>
      <c r="T70" s="3">
        <f t="shared" si="48"/>
        <v>-0.00229896400000001</v>
      </c>
      <c r="U70" s="3">
        <f t="shared" si="48"/>
        <v>-0.00451890849999997</v>
      </c>
      <c r="V70" s="3">
        <f t="shared" si="48"/>
        <v>-0.00562709500000001</v>
      </c>
      <c r="W70" s="3">
        <f t="shared" si="48"/>
        <v>-0.00544141100000003</v>
      </c>
      <c r="X70" s="3">
        <f t="shared" si="48"/>
        <v>0.000505084000000013</v>
      </c>
      <c r="Y70" s="3">
        <f t="shared" si="48"/>
        <v>-0.00487672050000003</v>
      </c>
      <c r="Z70" s="3">
        <f t="shared" si="48"/>
        <v>-0.00303540850000001</v>
      </c>
      <c r="AC70" s="50"/>
      <c r="AD70" s="3">
        <f>AD69/$D$1</f>
        <v>-0.00327084479999998</v>
      </c>
      <c r="AE70" s="3">
        <f>AE69/$D$1</f>
        <v>-0.00214951339999997</v>
      </c>
      <c r="AF70" s="3">
        <f t="shared" ref="AF70:AY70" si="49">AF69/$D$1</f>
        <v>-0.000679129399999998</v>
      </c>
      <c r="AG70" s="3">
        <f t="shared" si="49"/>
        <v>0.000183441299999935</v>
      </c>
      <c r="AH70" s="3">
        <f t="shared" si="49"/>
        <v>-0.00279318000000001</v>
      </c>
      <c r="AI70" s="3">
        <f t="shared" si="49"/>
        <v>-0.00185058490000005</v>
      </c>
      <c r="AJ70" s="3">
        <f t="shared" si="49"/>
        <v>-0.00419804150000001</v>
      </c>
      <c r="AK70" s="3">
        <f t="shared" si="49"/>
        <v>-0.00374829249999999</v>
      </c>
      <c r="AL70" s="3">
        <f t="shared" si="49"/>
        <v>-0.00268836690000003</v>
      </c>
      <c r="AM70" s="3">
        <f t="shared" si="49"/>
        <v>-0.00307414400000001</v>
      </c>
      <c r="AN70" s="3">
        <f t="shared" si="49"/>
        <v>-0.000107393299999981</v>
      </c>
      <c r="AO70" s="3">
        <f t="shared" si="49"/>
        <v>-0.0018595482</v>
      </c>
      <c r="AP70" s="3">
        <f t="shared" si="49"/>
        <v>-0.000671770899999962</v>
      </c>
      <c r="AQ70" s="3">
        <f t="shared" si="49"/>
        <v>1.27879000000015e-5</v>
      </c>
      <c r="AR70" s="3">
        <f t="shared" si="49"/>
        <v>-0.00105480010000006</v>
      </c>
      <c r="AS70" s="3">
        <f t="shared" si="49"/>
        <v>-0.00491182780000006</v>
      </c>
      <c r="AT70" s="3">
        <f t="shared" si="49"/>
        <v>-0.00580466620000005</v>
      </c>
      <c r="AU70" s="3">
        <f t="shared" si="49"/>
        <v>-0.00523195049999996</v>
      </c>
      <c r="AV70" s="3">
        <f t="shared" si="49"/>
        <v>-0.00573361869999996</v>
      </c>
      <c r="AW70" s="3">
        <f t="shared" si="49"/>
        <v>-0.00844776220000002</v>
      </c>
      <c r="AX70" s="3">
        <f t="shared" si="49"/>
        <v>-0.0107438986</v>
      </c>
      <c r="AY70" s="3">
        <f t="shared" si="49"/>
        <v>-0.00664080530000003</v>
      </c>
    </row>
  </sheetData>
  <mergeCells count="2">
    <mergeCell ref="F1:G2"/>
    <mergeCell ref="AA1:AC2"/>
  </mergeCells>
  <conditionalFormatting sqref="C5:C4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{dc8967a2-243d-4732-b9d5-80483064f4c2}</x14:id>
        </ext>
      </extLst>
    </cfRule>
  </conditionalFormatting>
  <conditionalFormatting sqref="D5:D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{0169a659-830b-4842-8932-fede29abd4ed}</x14:id>
        </ext>
      </extLst>
    </cfRule>
  </conditionalFormatting>
  <conditionalFormatting sqref="AA5:AA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{af14bd9e-bb9d-4041-a060-d0197e4b4d1a}</x14:id>
        </ext>
      </extLst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8967a2-243d-4732-b9d5-80483064f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C5:C44</xm:sqref>
        </x14:conditionalFormatting>
        <x14:conditionalFormatting xmlns:xm="http://schemas.microsoft.com/office/excel/2006/main">
          <x14:cfRule type="dataBar" id="{0169a659-830b-4842-8932-fede29abd4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D5:D44</xm:sqref>
        </x14:conditionalFormatting>
        <x14:conditionalFormatting xmlns:xm="http://schemas.microsoft.com/office/excel/2006/main">
          <x14:cfRule type="dataBar" id="{af14bd9e-bb9d-4041-a060-d0197e4b4d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AA5:AA44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zoomScale="83" zoomScaleNormal="83" workbookViewId="0">
      <selection activeCell="L32" sqref="L32"/>
    </sheetView>
  </sheetViews>
  <sheetFormatPr defaultColWidth="11" defaultRowHeight="17.6" outlineLevelCol="5"/>
  <cols>
    <col min="1" max="1" width="18.3333333333333" customWidth="1"/>
    <col min="2" max="2" width="9" customWidth="1"/>
    <col min="3" max="6" width="14.6666666666667" customWidth="1"/>
  </cols>
  <sheetData>
    <row r="1" ht="21" spans="1:6">
      <c r="A1" s="5" t="s">
        <v>7</v>
      </c>
      <c r="B1" s="6" t="s">
        <v>8</v>
      </c>
      <c r="C1" s="7" t="s">
        <v>99</v>
      </c>
      <c r="D1" s="7" t="s">
        <v>119</v>
      </c>
      <c r="E1" s="7" t="s">
        <v>120</v>
      </c>
      <c r="F1" s="7" t="s">
        <v>121</v>
      </c>
    </row>
    <row r="2" ht="41" spans="1:6">
      <c r="A2" s="8"/>
      <c r="B2" s="9"/>
      <c r="C2" s="10" t="s">
        <v>15</v>
      </c>
      <c r="D2" s="10" t="s">
        <v>16</v>
      </c>
      <c r="E2" s="10" t="s">
        <v>16</v>
      </c>
      <c r="F2" s="10" t="s">
        <v>16</v>
      </c>
    </row>
    <row r="3" spans="1:6">
      <c r="A3" s="11" t="s">
        <v>18</v>
      </c>
      <c r="B3" s="12" t="s">
        <v>19</v>
      </c>
      <c r="C3" s="13">
        <v>0.0952</v>
      </c>
      <c r="D3" s="13">
        <v>0.0352</v>
      </c>
      <c r="E3" s="13">
        <v>0.0325</v>
      </c>
      <c r="F3" s="13">
        <v>0.0178424686300529</v>
      </c>
    </row>
    <row r="4" spans="1:6">
      <c r="A4" s="14" t="s">
        <v>20</v>
      </c>
      <c r="B4" s="15" t="s">
        <v>21</v>
      </c>
      <c r="C4" s="16">
        <v>0.0831</v>
      </c>
      <c r="D4" s="16">
        <v>0.0341</v>
      </c>
      <c r="E4" s="16">
        <v>0.0226</v>
      </c>
      <c r="F4" s="16">
        <v>0.0203378278266254</v>
      </c>
    </row>
    <row r="5" spans="1:6">
      <c r="A5" s="14" t="s">
        <v>22</v>
      </c>
      <c r="B5" s="15" t="s">
        <v>23</v>
      </c>
      <c r="C5" s="16">
        <v>0.0728</v>
      </c>
      <c r="D5" s="16">
        <v>0.0477</v>
      </c>
      <c r="E5" s="16">
        <v>0.0188</v>
      </c>
      <c r="F5" s="16">
        <v>0.0295976547608943</v>
      </c>
    </row>
    <row r="6" spans="1:6">
      <c r="A6" s="14" t="s">
        <v>24</v>
      </c>
      <c r="B6" s="15" t="s">
        <v>25</v>
      </c>
      <c r="C6" s="16">
        <v>0.0641</v>
      </c>
      <c r="D6" s="16">
        <v>0.0235</v>
      </c>
      <c r="E6" s="16">
        <v>0.0117</v>
      </c>
      <c r="F6" s="16">
        <v>0.0408060843453868</v>
      </c>
    </row>
    <row r="7" spans="1:6">
      <c r="A7" s="14" t="s">
        <v>26</v>
      </c>
      <c r="B7" s="15" t="s">
        <v>27</v>
      </c>
      <c r="C7" s="16">
        <v>0.0551</v>
      </c>
      <c r="D7" s="16">
        <v>0.0496</v>
      </c>
      <c r="E7" s="16">
        <v>0.0466</v>
      </c>
      <c r="F7" s="16">
        <v>0.0221097422874359</v>
      </c>
    </row>
    <row r="8" spans="1:6">
      <c r="A8" s="14" t="s">
        <v>28</v>
      </c>
      <c r="B8" s="15" t="s">
        <v>29</v>
      </c>
      <c r="C8" s="16">
        <v>0.0544</v>
      </c>
      <c r="D8" s="16">
        <v>0.0281</v>
      </c>
      <c r="E8" s="16">
        <v>0.031</v>
      </c>
      <c r="F8" s="16">
        <v>0.0293664093945216</v>
      </c>
    </row>
    <row r="9" spans="1:6">
      <c r="A9" s="14" t="s">
        <v>30</v>
      </c>
      <c r="B9" s="15" t="s">
        <v>31</v>
      </c>
      <c r="C9" s="16">
        <v>0.0493</v>
      </c>
      <c r="D9" s="16">
        <v>0.0489</v>
      </c>
      <c r="E9" s="16">
        <v>0.0316</v>
      </c>
      <c r="F9" s="16">
        <v>0.0256909712359835</v>
      </c>
    </row>
    <row r="10" spans="1:6">
      <c r="A10" s="14" t="s">
        <v>32</v>
      </c>
      <c r="B10" s="15" t="s">
        <v>33</v>
      </c>
      <c r="C10" s="16">
        <v>0.0461</v>
      </c>
      <c r="D10" s="16">
        <v>0.04</v>
      </c>
      <c r="E10" s="16">
        <v>0.0632</v>
      </c>
      <c r="F10" s="16">
        <v>0.023129451991547</v>
      </c>
    </row>
    <row r="11" spans="1:6">
      <c r="A11" s="14" t="s">
        <v>34</v>
      </c>
      <c r="B11" s="15" t="s">
        <v>35</v>
      </c>
      <c r="C11" s="16">
        <v>0.0452</v>
      </c>
      <c r="D11" s="16">
        <v>0.0614</v>
      </c>
      <c r="E11" s="16">
        <v>0.0327</v>
      </c>
      <c r="F11" s="16">
        <v>0.0266709705790691</v>
      </c>
    </row>
    <row r="12" spans="1:6">
      <c r="A12" s="14" t="s">
        <v>36</v>
      </c>
      <c r="B12" s="15" t="s">
        <v>37</v>
      </c>
      <c r="C12" s="16">
        <v>0.0441</v>
      </c>
      <c r="D12" s="16">
        <v>0.0818</v>
      </c>
      <c r="E12" s="16">
        <v>0.07</v>
      </c>
      <c r="F12" s="16">
        <v>0.0217569965850866</v>
      </c>
    </row>
    <row r="13" spans="1:6">
      <c r="A13" s="14" t="s">
        <v>38</v>
      </c>
      <c r="B13" s="15" t="s">
        <v>39</v>
      </c>
      <c r="C13" s="16">
        <v>0.0385</v>
      </c>
      <c r="D13" s="16">
        <v>0.0275</v>
      </c>
      <c r="E13" s="16">
        <v>0.0223</v>
      </c>
      <c r="F13" s="16">
        <v>0.0244407229323412</v>
      </c>
    </row>
    <row r="14" spans="1:6">
      <c r="A14" s="14" t="s">
        <v>40</v>
      </c>
      <c r="B14" s="15" t="s">
        <v>41</v>
      </c>
      <c r="C14" s="16">
        <v>0.0381</v>
      </c>
      <c r="D14" s="16">
        <v>0.0098</v>
      </c>
      <c r="E14" s="16">
        <v>0.0062</v>
      </c>
      <c r="F14" s="16">
        <v>0.0187015418264974</v>
      </c>
    </row>
    <row r="15" spans="1:6">
      <c r="A15" s="14" t="s">
        <v>42</v>
      </c>
      <c r="B15" s="15" t="s">
        <v>43</v>
      </c>
      <c r="C15" s="16">
        <v>0.0317</v>
      </c>
      <c r="D15" s="16">
        <v>0.0101</v>
      </c>
      <c r="E15" s="16">
        <v>0.0224</v>
      </c>
      <c r="F15" s="16">
        <v>0.0225561557396016</v>
      </c>
    </row>
    <row r="16" spans="1:6">
      <c r="A16" s="14" t="s">
        <v>44</v>
      </c>
      <c r="B16" s="15" t="s">
        <v>45</v>
      </c>
      <c r="C16" s="16">
        <v>0.0252</v>
      </c>
      <c r="D16" s="16">
        <v>0.0124</v>
      </c>
      <c r="E16" s="16">
        <v>0.0227</v>
      </c>
      <c r="F16" s="16">
        <v>0.0410612591499043</v>
      </c>
    </row>
    <row r="17" spans="1:6">
      <c r="A17" s="14" t="s">
        <v>46</v>
      </c>
      <c r="B17" s="15" t="s">
        <v>47</v>
      </c>
      <c r="C17" s="16">
        <v>0.0233</v>
      </c>
      <c r="D17" s="16">
        <v>0.0199</v>
      </c>
      <c r="E17" s="16">
        <v>0.0185</v>
      </c>
      <c r="F17" s="16">
        <v>0.0187195909401453</v>
      </c>
    </row>
    <row r="18" spans="1:6">
      <c r="A18" s="14" t="s">
        <v>48</v>
      </c>
      <c r="B18" s="15" t="s">
        <v>49</v>
      </c>
      <c r="C18" s="16">
        <v>0.0168</v>
      </c>
      <c r="D18" s="16">
        <v>0.0137</v>
      </c>
      <c r="E18" s="16">
        <v>0.0146</v>
      </c>
      <c r="F18" s="16">
        <v>0.0309985464353776</v>
      </c>
    </row>
    <row r="19" spans="1:6">
      <c r="A19" s="14" t="s">
        <v>50</v>
      </c>
      <c r="B19" s="15" t="s">
        <v>51</v>
      </c>
      <c r="C19" s="16">
        <v>0.016</v>
      </c>
      <c r="D19" s="16">
        <v>0.0141</v>
      </c>
      <c r="E19" s="16">
        <v>0.0275</v>
      </c>
      <c r="F19" s="16">
        <v>0.0175733157438058</v>
      </c>
    </row>
    <row r="20" spans="1:6">
      <c r="A20" s="14" t="s">
        <v>52</v>
      </c>
      <c r="B20" s="15" t="s">
        <v>53</v>
      </c>
      <c r="C20" s="16">
        <v>0.0148</v>
      </c>
      <c r="D20" s="16">
        <v>0.0419</v>
      </c>
      <c r="E20" s="16">
        <v>0.0342</v>
      </c>
      <c r="F20" s="16">
        <v>0.0263039799796328</v>
      </c>
    </row>
    <row r="21" spans="1:6">
      <c r="A21" s="14" t="s">
        <v>54</v>
      </c>
      <c r="B21" s="15" t="s">
        <v>55</v>
      </c>
      <c r="C21" s="16">
        <v>0.0147</v>
      </c>
      <c r="D21" s="16">
        <v>0.0293</v>
      </c>
      <c r="E21" s="16">
        <v>0.0322</v>
      </c>
      <c r="F21" s="16">
        <v>0.0232494126804209</v>
      </c>
    </row>
    <row r="22" spans="1:6">
      <c r="A22" s="14" t="s">
        <v>56</v>
      </c>
      <c r="B22" s="15" t="s">
        <v>57</v>
      </c>
      <c r="C22" s="16">
        <v>0.0141</v>
      </c>
      <c r="D22" s="16">
        <v>0.0111</v>
      </c>
      <c r="E22" s="16">
        <v>0.0233</v>
      </c>
      <c r="F22" s="16">
        <v>0.0249342410147707</v>
      </c>
    </row>
    <row r="23" spans="1:6">
      <c r="A23" s="14" t="s">
        <v>58</v>
      </c>
      <c r="B23" s="15" t="s">
        <v>59</v>
      </c>
      <c r="C23" s="16">
        <v>0.0136</v>
      </c>
      <c r="D23" s="16">
        <v>0.0299</v>
      </c>
      <c r="E23" s="16">
        <v>0.0097</v>
      </c>
      <c r="F23" s="16">
        <v>0.0253958230302866</v>
      </c>
    </row>
    <row r="24" spans="1:6">
      <c r="A24" s="14" t="s">
        <v>60</v>
      </c>
      <c r="B24" s="15" t="s">
        <v>61</v>
      </c>
      <c r="C24" s="16">
        <v>0.0134</v>
      </c>
      <c r="D24" s="16">
        <v>0.0237</v>
      </c>
      <c r="E24" s="16">
        <v>0.0501</v>
      </c>
      <c r="F24" s="16">
        <v>0.0255448978161522</v>
      </c>
    </row>
    <row r="25" spans="1:6">
      <c r="A25" s="14" t="s">
        <v>62</v>
      </c>
      <c r="B25" s="15" t="s">
        <v>63</v>
      </c>
      <c r="C25" s="16">
        <v>0.0132</v>
      </c>
      <c r="D25" s="16">
        <v>0.0327</v>
      </c>
      <c r="E25" s="16">
        <v>0.0143</v>
      </c>
      <c r="F25" s="16">
        <v>0.0293531961247123</v>
      </c>
    </row>
    <row r="26" spans="1:6">
      <c r="A26" s="14" t="s">
        <v>64</v>
      </c>
      <c r="B26" s="15" t="s">
        <v>65</v>
      </c>
      <c r="C26" s="16">
        <v>0.0119</v>
      </c>
      <c r="D26" s="16">
        <v>0.0432</v>
      </c>
      <c r="E26" s="16">
        <v>0.0115</v>
      </c>
      <c r="F26" s="16">
        <v>0.0178580704986733</v>
      </c>
    </row>
    <row r="27" spans="1:6">
      <c r="A27" s="14" t="s">
        <v>66</v>
      </c>
      <c r="B27" s="15" t="s">
        <v>67</v>
      </c>
      <c r="C27" s="16">
        <v>0.0112</v>
      </c>
      <c r="D27" s="16">
        <v>0.0218</v>
      </c>
      <c r="E27" s="16">
        <v>0.0343</v>
      </c>
      <c r="F27" s="16">
        <v>0.0233210695942832</v>
      </c>
    </row>
    <row r="28" spans="1:6">
      <c r="A28" s="14" t="s">
        <v>68</v>
      </c>
      <c r="B28" s="15" t="s">
        <v>69</v>
      </c>
      <c r="C28" s="16">
        <v>0.0107</v>
      </c>
      <c r="D28" s="16">
        <v>0.008</v>
      </c>
      <c r="E28" s="16">
        <v>0.017</v>
      </c>
      <c r="F28" s="16">
        <v>0.0439148162332005</v>
      </c>
    </row>
    <row r="29" spans="1:6">
      <c r="A29" s="14" t="s">
        <v>70</v>
      </c>
      <c r="B29" s="15" t="s">
        <v>71</v>
      </c>
      <c r="C29" s="16">
        <v>0.0106</v>
      </c>
      <c r="D29" s="16">
        <v>0.0098</v>
      </c>
      <c r="E29" s="16">
        <v>0.006</v>
      </c>
      <c r="F29" s="16">
        <v>0.0155237831504658</v>
      </c>
    </row>
    <row r="30" spans="1:6">
      <c r="A30" s="14" t="s">
        <v>72</v>
      </c>
      <c r="B30" s="15" t="s">
        <v>73</v>
      </c>
      <c r="C30" s="16">
        <v>0.0093</v>
      </c>
      <c r="D30" s="16">
        <v>0.0037</v>
      </c>
      <c r="E30" s="16">
        <v>0.022</v>
      </c>
      <c r="F30" s="16">
        <v>0.018208632062301</v>
      </c>
    </row>
    <row r="31" spans="1:6">
      <c r="A31" s="14" t="s">
        <v>74</v>
      </c>
      <c r="B31" s="15" t="s">
        <v>75</v>
      </c>
      <c r="C31" s="16">
        <v>0.0087</v>
      </c>
      <c r="D31" s="16">
        <v>0.0141</v>
      </c>
      <c r="E31" s="16">
        <v>0.058</v>
      </c>
      <c r="F31" s="16">
        <v>0.0283136595195099</v>
      </c>
    </row>
    <row r="32" spans="1:6">
      <c r="A32" s="14" t="s">
        <v>76</v>
      </c>
      <c r="B32" s="15" t="s">
        <v>77</v>
      </c>
      <c r="C32" s="16">
        <v>0.0072</v>
      </c>
      <c r="D32" s="16">
        <v>0.0032</v>
      </c>
      <c r="E32" s="16">
        <v>0.0255</v>
      </c>
      <c r="F32" s="16">
        <v>0.0219806778574091</v>
      </c>
    </row>
    <row r="33" spans="1:6">
      <c r="A33" s="14" t="s">
        <v>78</v>
      </c>
      <c r="B33" s="15" t="s">
        <v>79</v>
      </c>
      <c r="C33" s="16">
        <v>0.006</v>
      </c>
      <c r="D33" s="16">
        <v>0.0014</v>
      </c>
      <c r="E33" s="16">
        <v>0.0164</v>
      </c>
      <c r="F33" s="16">
        <v>0.0281249945761927</v>
      </c>
    </row>
    <row r="34" spans="1:6">
      <c r="A34" s="14" t="s">
        <v>80</v>
      </c>
      <c r="B34" s="15" t="s">
        <v>81</v>
      </c>
      <c r="C34" s="16">
        <v>0.0058</v>
      </c>
      <c r="D34" s="16">
        <v>0.0237</v>
      </c>
      <c r="E34" s="16">
        <v>0.0207</v>
      </c>
      <c r="F34" s="16">
        <v>0.0229707828694159</v>
      </c>
    </row>
    <row r="35" spans="1:6">
      <c r="A35" s="14" t="s">
        <v>82</v>
      </c>
      <c r="B35" s="15" t="s">
        <v>83</v>
      </c>
      <c r="C35" s="16">
        <v>0.0058</v>
      </c>
      <c r="D35" s="16">
        <v>0.0132</v>
      </c>
      <c r="E35" s="16">
        <v>0.0104</v>
      </c>
      <c r="F35" s="16">
        <v>0.0216156013804643</v>
      </c>
    </row>
    <row r="36" spans="1:6">
      <c r="A36" s="14" t="s">
        <v>84</v>
      </c>
      <c r="B36" s="15" t="s">
        <v>85</v>
      </c>
      <c r="C36" s="16">
        <v>0.0057</v>
      </c>
      <c r="D36" s="16">
        <v>0.0045</v>
      </c>
      <c r="E36" s="16">
        <v>0.0067</v>
      </c>
      <c r="F36" s="16">
        <v>0.0208903380359831</v>
      </c>
    </row>
    <row r="37" spans="1:6">
      <c r="A37" s="14" t="s">
        <v>86</v>
      </c>
      <c r="B37" s="15" t="s">
        <v>87</v>
      </c>
      <c r="C37" s="16">
        <v>0.0052</v>
      </c>
      <c r="D37" s="16">
        <v>0.0111</v>
      </c>
      <c r="E37" s="16">
        <v>0.0177</v>
      </c>
      <c r="F37" s="16">
        <v>0.0195210634373448</v>
      </c>
    </row>
    <row r="38" spans="1:6">
      <c r="A38" s="14" t="s">
        <v>88</v>
      </c>
      <c r="B38" s="15" t="s">
        <v>89</v>
      </c>
      <c r="C38" s="16">
        <v>0.0047</v>
      </c>
      <c r="D38" s="16">
        <v>0.0039</v>
      </c>
      <c r="E38" s="16">
        <v>0.0042</v>
      </c>
      <c r="F38" s="16">
        <v>0.0221709440433229</v>
      </c>
    </row>
    <row r="39" spans="1:6">
      <c r="A39" s="14" t="s">
        <v>90</v>
      </c>
      <c r="B39" s="15" t="s">
        <v>91</v>
      </c>
      <c r="C39" s="16">
        <v>0.0045</v>
      </c>
      <c r="D39" s="16">
        <v>0.0045</v>
      </c>
      <c r="E39" s="16">
        <v>0</v>
      </c>
      <c r="F39" s="16">
        <v>0.0370055878422045</v>
      </c>
    </row>
    <row r="40" spans="1:6">
      <c r="A40" s="14" t="s">
        <v>92</v>
      </c>
      <c r="B40" s="15" t="s">
        <v>93</v>
      </c>
      <c r="C40" s="16">
        <v>0.0037</v>
      </c>
      <c r="D40" s="16">
        <v>0.0596</v>
      </c>
      <c r="E40" s="16">
        <v>0.0397</v>
      </c>
      <c r="F40" s="16">
        <v>0.0279103999393059</v>
      </c>
    </row>
    <row r="41" spans="1:6">
      <c r="A41" s="14" t="s">
        <v>94</v>
      </c>
      <c r="B41" s="15" t="s">
        <v>95</v>
      </c>
      <c r="C41" s="16">
        <v>0.0032</v>
      </c>
      <c r="D41" s="16">
        <v>0.0132</v>
      </c>
      <c r="E41" s="16">
        <v>0.0165</v>
      </c>
      <c r="F41" s="16">
        <v>0.0272905397994756</v>
      </c>
    </row>
    <row r="42" spans="1:6">
      <c r="A42" s="17" t="s">
        <v>96</v>
      </c>
      <c r="B42" s="18" t="s">
        <v>97</v>
      </c>
      <c r="C42" s="19">
        <v>0.0029</v>
      </c>
      <c r="D42" s="19">
        <v>0.0347</v>
      </c>
      <c r="E42" s="19">
        <v>0.0347</v>
      </c>
      <c r="F42" s="19">
        <v>0.0172377781101939</v>
      </c>
    </row>
  </sheetData>
  <mergeCells count="2">
    <mergeCell ref="A1:A2"/>
    <mergeCell ref="B1:B2"/>
  </mergeCells>
  <conditionalFormatting sqref="C3:C4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{8461b15a-6337-483a-808a-0b2718efa142}</x14:id>
        </ext>
      </extLst>
    </cfRule>
  </conditionalFormatting>
  <conditionalFormatting sqref="D3:D4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{d7bc649e-821b-4255-bcda-fae86a95cda7}</x14:id>
        </ext>
      </extLst>
    </cfRule>
  </conditionalFormatting>
  <conditionalFormatting sqref="E3:E4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{b991430a-1285-4e2a-bd3f-33ef7e53cdab}</x14:id>
        </ext>
      </extLst>
    </cfRule>
  </conditionalFormatting>
  <conditionalFormatting sqref="F3:F4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{06aa7926-c61c-407c-b726-a30374cc1325}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61b15a-6337-483a-808a-0b2718efa1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C3:C42</xm:sqref>
        </x14:conditionalFormatting>
        <x14:conditionalFormatting xmlns:xm="http://schemas.microsoft.com/office/excel/2006/main">
          <x14:cfRule type="dataBar" id="{d7bc649e-821b-4255-bcda-fae86a95c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D3:D42</xm:sqref>
        </x14:conditionalFormatting>
        <x14:conditionalFormatting xmlns:xm="http://schemas.microsoft.com/office/excel/2006/main">
          <x14:cfRule type="dataBar" id="{b991430a-1285-4e2a-bd3f-33ef7e53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E3:E42</xm:sqref>
        </x14:conditionalFormatting>
        <x14:conditionalFormatting xmlns:xm="http://schemas.microsoft.com/office/excel/2006/main">
          <x14:cfRule type="dataBar" id="{06aa7926-c61c-407c-b726-a30374cc1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opLeftCell="F1" workbookViewId="0">
      <selection activeCell="J36" sqref="J36"/>
    </sheetView>
  </sheetViews>
  <sheetFormatPr defaultColWidth="11" defaultRowHeight="17.6" outlineLevelCol="5"/>
  <cols>
    <col min="1" max="1" width="12.6666666666667" style="1" customWidth="1"/>
  </cols>
  <sheetData>
    <row r="1" spans="1:6">
      <c r="A1" s="1" t="s">
        <v>14</v>
      </c>
      <c r="B1" t="s">
        <v>122</v>
      </c>
      <c r="C1" t="s">
        <v>119</v>
      </c>
      <c r="D1" t="s">
        <v>121</v>
      </c>
      <c r="E1" t="s">
        <v>123</v>
      </c>
      <c r="F1" t="s">
        <v>124</v>
      </c>
    </row>
    <row r="2" spans="1:6">
      <c r="A2" s="2">
        <v>45847</v>
      </c>
      <c r="B2" s="3">
        <v>0</v>
      </c>
      <c r="C2" s="3">
        <v>0</v>
      </c>
      <c r="D2" s="3">
        <v>0</v>
      </c>
      <c r="E2" s="4">
        <f>-F2</f>
        <v>0</v>
      </c>
      <c r="F2" s="3">
        <v>0</v>
      </c>
    </row>
    <row r="3" spans="1:6">
      <c r="A3" s="2">
        <v>45848</v>
      </c>
      <c r="B3" s="3">
        <v>0.0020043333</v>
      </c>
      <c r="C3" s="3">
        <v>0.00179637799999999</v>
      </c>
      <c r="D3" s="3">
        <v>0.000959065000000006</v>
      </c>
      <c r="E3" s="4">
        <f t="shared" ref="E3:E43" si="0">-F3</f>
        <v>-0.003018951</v>
      </c>
      <c r="F3" s="3">
        <v>0.003018951</v>
      </c>
    </row>
    <row r="4" spans="1:6">
      <c r="A4" s="2">
        <v>45849</v>
      </c>
      <c r="B4" s="3">
        <v>0.002082784</v>
      </c>
      <c r="C4" s="3">
        <v>0.000348708999999999</v>
      </c>
      <c r="D4" s="3">
        <v>0.000717278000000005</v>
      </c>
      <c r="E4" s="4">
        <f t="shared" si="0"/>
        <v>0.00623967300000001</v>
      </c>
      <c r="F4" s="3">
        <v>-0.00623967300000001</v>
      </c>
    </row>
    <row r="5" spans="1:6">
      <c r="A5" s="2">
        <v>45852</v>
      </c>
      <c r="B5" s="3">
        <v>0.00192786459999999</v>
      </c>
      <c r="C5" s="3">
        <v>-0.000867079000000008</v>
      </c>
      <c r="D5" s="3">
        <v>0.001936132</v>
      </c>
      <c r="E5" s="4">
        <f t="shared" si="0"/>
        <v>0.00891980099999999</v>
      </c>
      <c r="F5" s="3">
        <v>-0.00891980099999999</v>
      </c>
    </row>
    <row r="6" spans="1:6">
      <c r="A6" s="2">
        <v>45853</v>
      </c>
      <c r="B6" s="3">
        <v>0.00263073279999998</v>
      </c>
      <c r="C6" s="3">
        <v>0.00033052549999997</v>
      </c>
      <c r="D6" s="3">
        <v>0.00243104299999998</v>
      </c>
      <c r="E6" s="4">
        <f t="shared" si="0"/>
        <v>0.014244525</v>
      </c>
      <c r="F6" s="3">
        <v>-0.014244525</v>
      </c>
    </row>
    <row r="7" spans="1:6">
      <c r="A7" s="2">
        <v>45854</v>
      </c>
      <c r="B7" s="3">
        <v>0.00107827929999999</v>
      </c>
      <c r="C7" s="3">
        <v>-0.000907504500000018</v>
      </c>
      <c r="D7" s="3">
        <v>-0.00211892000000002</v>
      </c>
      <c r="E7" s="4">
        <f t="shared" si="0"/>
        <v>0.019843353</v>
      </c>
      <c r="F7" s="3">
        <v>-0.019843353</v>
      </c>
    </row>
    <row r="8" spans="1:6">
      <c r="A8" s="2">
        <v>45855</v>
      </c>
      <c r="B8" s="3">
        <v>-0.0014854881</v>
      </c>
      <c r="C8" s="3">
        <v>-0.002568704</v>
      </c>
      <c r="D8" s="3">
        <v>-0.00646587949999999</v>
      </c>
      <c r="E8" s="4">
        <f t="shared" si="0"/>
        <v>0.007164774</v>
      </c>
      <c r="F8" s="3">
        <v>-0.007164774</v>
      </c>
    </row>
    <row r="9" spans="1:6">
      <c r="A9" s="2">
        <v>45856</v>
      </c>
      <c r="B9" s="3">
        <v>0.000112106399999995</v>
      </c>
      <c r="C9" s="3">
        <v>-0.000805916000000011</v>
      </c>
      <c r="D9" s="3">
        <v>-0.0034761045</v>
      </c>
      <c r="E9" s="4">
        <f t="shared" si="0"/>
        <v>0.00707975099999999</v>
      </c>
      <c r="F9" s="3">
        <v>-0.00707975099999999</v>
      </c>
    </row>
    <row r="10" spans="1:6">
      <c r="A10" s="2">
        <v>45859</v>
      </c>
      <c r="B10" s="3">
        <v>-9.60852000000281e-5</v>
      </c>
      <c r="C10" s="3">
        <v>-0.000794625500000039</v>
      </c>
      <c r="D10" s="3">
        <v>-0.00234509150000004</v>
      </c>
      <c r="E10" s="4">
        <f t="shared" si="0"/>
        <v>0.010182456</v>
      </c>
      <c r="F10" s="3">
        <v>-0.010182456</v>
      </c>
    </row>
    <row r="11" spans="1:6">
      <c r="A11" s="2">
        <v>45860</v>
      </c>
      <c r="B11" s="3">
        <v>0.00176746150000002</v>
      </c>
      <c r="C11" s="3">
        <v>0.00263221900000001</v>
      </c>
      <c r="D11" s="3">
        <v>0.00322445950000002</v>
      </c>
      <c r="E11" s="4">
        <f t="shared" si="0"/>
        <v>0.017010945</v>
      </c>
      <c r="F11" s="3">
        <v>-0.017010945</v>
      </c>
    </row>
    <row r="12" spans="1:6">
      <c r="A12" s="2">
        <v>45861</v>
      </c>
      <c r="B12" s="3">
        <v>-0.00195203250000003</v>
      </c>
      <c r="C12" s="3">
        <v>0.00227759149999995</v>
      </c>
      <c r="D12" s="3">
        <v>-0.00136996600000003</v>
      </c>
      <c r="E12" s="4">
        <f t="shared" si="0"/>
        <v>0.00355700699999997</v>
      </c>
      <c r="F12" s="3">
        <v>-0.00355700699999997</v>
      </c>
    </row>
    <row r="13" spans="1:6">
      <c r="A13" s="2">
        <v>45862</v>
      </c>
      <c r="B13" s="3">
        <v>-0.00440708699999996</v>
      </c>
      <c r="C13" s="3">
        <v>0.00552129850000003</v>
      </c>
      <c r="D13" s="3">
        <v>-0.000621106999999966</v>
      </c>
      <c r="E13" s="4">
        <f t="shared" si="0"/>
        <v>0.00763684200000004</v>
      </c>
      <c r="F13" s="3">
        <v>-0.00763684200000004</v>
      </c>
    </row>
    <row r="14" spans="1:6">
      <c r="A14" s="2">
        <v>45863</v>
      </c>
      <c r="B14" s="3">
        <v>-0.00143848969999998</v>
      </c>
      <c r="C14" s="3">
        <v>0.00989076200000001</v>
      </c>
      <c r="D14" s="3">
        <v>0.00260180550000001</v>
      </c>
      <c r="E14" s="4">
        <f t="shared" si="0"/>
        <v>0.00556837200000001</v>
      </c>
      <c r="F14" s="3">
        <v>-0.00556837200000001</v>
      </c>
    </row>
    <row r="15" spans="1:6">
      <c r="A15" s="2">
        <v>45866</v>
      </c>
      <c r="B15" s="3">
        <v>-0.00636790760000001</v>
      </c>
      <c r="C15" s="3">
        <v>0.00632283199999997</v>
      </c>
      <c r="D15" s="3">
        <v>-0.00229896400000001</v>
      </c>
      <c r="E15" s="4">
        <f t="shared" si="0"/>
        <v>0.00984490199999999</v>
      </c>
      <c r="F15" s="3">
        <v>-0.00984490199999999</v>
      </c>
    </row>
    <row r="16" spans="1:6">
      <c r="A16" s="2">
        <v>45867</v>
      </c>
      <c r="B16" s="3">
        <v>-0.00672432699999996</v>
      </c>
      <c r="C16" s="3">
        <v>0.00641809250000003</v>
      </c>
      <c r="D16" s="3">
        <v>-0.00451890849999997</v>
      </c>
      <c r="E16" s="4">
        <f t="shared" si="0"/>
        <v>0.00267759000000004</v>
      </c>
      <c r="F16" s="3">
        <v>-0.00267759000000004</v>
      </c>
    </row>
    <row r="17" spans="1:6">
      <c r="A17" s="2">
        <v>45868</v>
      </c>
      <c r="B17" s="3">
        <v>-0.0120009343</v>
      </c>
      <c r="C17" s="3">
        <v>0.00135555549999999</v>
      </c>
      <c r="D17" s="3">
        <v>-0.00562709500000001</v>
      </c>
      <c r="E17" s="4">
        <f t="shared" si="0"/>
        <v>0.00209385</v>
      </c>
      <c r="F17" s="3">
        <v>-0.00209385</v>
      </c>
    </row>
    <row r="18" spans="1:6">
      <c r="A18" s="2">
        <v>45869</v>
      </c>
      <c r="B18" s="3">
        <v>-0.00993122160000003</v>
      </c>
      <c r="C18" s="3">
        <v>0.00418207099999996</v>
      </c>
      <c r="D18" s="3">
        <v>-0.00544141100000003</v>
      </c>
      <c r="E18" s="4">
        <f t="shared" si="0"/>
        <v>0.013513581</v>
      </c>
      <c r="F18" s="3">
        <v>-0.013513581</v>
      </c>
    </row>
    <row r="19" spans="1:6">
      <c r="A19" s="2">
        <v>45870</v>
      </c>
      <c r="B19" s="3">
        <v>-0.0115954554</v>
      </c>
      <c r="C19" s="3">
        <v>0.000136227999999996</v>
      </c>
      <c r="D19" s="3">
        <v>0.000505084000000013</v>
      </c>
      <c r="E19" s="4">
        <f t="shared" si="0"/>
        <v>0.04216887</v>
      </c>
      <c r="F19" s="3">
        <v>-0.04216887</v>
      </c>
    </row>
    <row r="20" spans="1:6">
      <c r="A20" s="2">
        <v>45873</v>
      </c>
      <c r="B20" s="3">
        <v>-0.0158112473</v>
      </c>
      <c r="C20" s="3">
        <v>-0.00337978150000004</v>
      </c>
      <c r="D20" s="3">
        <v>-0.00487672050000003</v>
      </c>
      <c r="E20" s="4">
        <f t="shared" si="0"/>
        <v>0.031274505</v>
      </c>
      <c r="F20" s="3">
        <v>-0.031274505</v>
      </c>
    </row>
    <row r="21" spans="1:6">
      <c r="A21" s="2">
        <v>45874</v>
      </c>
      <c r="B21" s="3">
        <v>-0.0140978554</v>
      </c>
      <c r="C21" s="3">
        <v>-0.00217988250000002</v>
      </c>
      <c r="D21" s="3">
        <v>-0.00303540850000001</v>
      </c>
      <c r="E21" s="4">
        <f t="shared" si="0"/>
        <v>0.032666598</v>
      </c>
      <c r="F21" s="3">
        <v>-0.032666598</v>
      </c>
    </row>
    <row r="22" spans="1:6">
      <c r="A22" s="2">
        <v>45875</v>
      </c>
      <c r="B22" s="3">
        <v>-0.0173322789</v>
      </c>
      <c r="C22" s="3">
        <v>-0.00105182929999997</v>
      </c>
      <c r="D22" s="3">
        <v>-0.00327084479999998</v>
      </c>
      <c r="E22" s="4">
        <f t="shared" si="0"/>
        <v>0.0308339079860876</v>
      </c>
      <c r="F22" s="3">
        <v>-0.0308339079860876</v>
      </c>
    </row>
    <row r="23" spans="1:6">
      <c r="A23" s="2">
        <v>45876</v>
      </c>
      <c r="B23" s="3">
        <v>-0.0139622804</v>
      </c>
      <c r="C23" s="3">
        <v>-0.00288024839999997</v>
      </c>
      <c r="D23" s="3">
        <v>-0.00214951339999997</v>
      </c>
      <c r="E23" s="4">
        <f t="shared" si="0"/>
        <v>0.0211019179904787</v>
      </c>
      <c r="F23" s="3">
        <v>-0.0211019179904787</v>
      </c>
    </row>
    <row r="24" spans="1:6">
      <c r="A24" s="2">
        <v>45877</v>
      </c>
      <c r="B24" s="3">
        <v>-0.0122252624</v>
      </c>
      <c r="C24" s="3">
        <v>-0.0027377819</v>
      </c>
      <c r="D24" s="3">
        <v>-0.000679129399999998</v>
      </c>
      <c r="E24" s="4">
        <f t="shared" si="0"/>
        <v>0.0166898379924695</v>
      </c>
      <c r="F24" s="3">
        <v>-0.0166898379924695</v>
      </c>
    </row>
    <row r="25" spans="1:6">
      <c r="A25" s="2">
        <v>45880</v>
      </c>
      <c r="B25" s="3">
        <v>-0.0134359274000001</v>
      </c>
      <c r="C25" s="3">
        <v>0.000417558299999937</v>
      </c>
      <c r="D25" s="3">
        <v>0.000183441299999935</v>
      </c>
      <c r="E25" s="4">
        <f t="shared" si="0"/>
        <v>0.0225167179898403</v>
      </c>
      <c r="F25" s="3">
        <v>-0.0225167179898403</v>
      </c>
    </row>
    <row r="26" spans="1:6">
      <c r="A26" s="2">
        <v>45881</v>
      </c>
      <c r="B26" s="3">
        <v>-0.0143748489</v>
      </c>
      <c r="C26" s="3">
        <v>-0.000273056000000007</v>
      </c>
      <c r="D26" s="3">
        <v>-0.00279318000000001</v>
      </c>
      <c r="E26" s="4">
        <f t="shared" si="0"/>
        <v>0.0153248179930853</v>
      </c>
      <c r="F26" s="3">
        <v>-0.0153248179930853</v>
      </c>
    </row>
    <row r="27" spans="1:6">
      <c r="A27" s="2">
        <v>45882</v>
      </c>
      <c r="B27" s="3">
        <v>-0.0130036624</v>
      </c>
      <c r="C27" s="3">
        <v>-0.00115398340000005</v>
      </c>
      <c r="D27" s="3">
        <v>-0.00185058490000005</v>
      </c>
      <c r="E27" s="4">
        <f t="shared" si="0"/>
        <v>0.00857176799613234</v>
      </c>
      <c r="F27" s="3">
        <v>-0.00857176799613234</v>
      </c>
    </row>
    <row r="28" spans="1:6">
      <c r="A28" s="2">
        <v>45883</v>
      </c>
      <c r="B28" s="3">
        <v>-0.0147282644</v>
      </c>
      <c r="C28" s="3">
        <v>-0.00214374000000002</v>
      </c>
      <c r="D28" s="3">
        <v>-0.00419804150000001</v>
      </c>
      <c r="E28" s="4">
        <f t="shared" si="0"/>
        <v>8.29799999623512e-6</v>
      </c>
      <c r="F28" s="3">
        <v>-8.29799999623512e-6</v>
      </c>
    </row>
    <row r="29" spans="1:6">
      <c r="A29" s="2">
        <v>45884</v>
      </c>
      <c r="B29" s="3">
        <v>-0.0138282034</v>
      </c>
      <c r="C29" s="3">
        <v>-0.00109648249999999</v>
      </c>
      <c r="D29" s="3">
        <v>-0.00374829249999999</v>
      </c>
      <c r="E29" s="4">
        <f t="shared" si="0"/>
        <v>-0.0069491119968645</v>
      </c>
      <c r="F29" s="3">
        <v>0.0069491119968645</v>
      </c>
    </row>
    <row r="30" spans="1:6">
      <c r="A30" s="2">
        <v>45887</v>
      </c>
      <c r="B30" s="3">
        <v>-0.0125377569</v>
      </c>
      <c r="C30" s="3">
        <v>-7.01514000000341e-5</v>
      </c>
      <c r="D30" s="3">
        <v>-0.00268836690000003</v>
      </c>
      <c r="E30" s="4">
        <f t="shared" si="0"/>
        <v>-0.0017877119991934</v>
      </c>
      <c r="F30" s="3">
        <v>0.0017877119991934</v>
      </c>
    </row>
    <row r="31" spans="1:6">
      <c r="A31" s="2">
        <v>45888</v>
      </c>
      <c r="B31" s="3">
        <v>-0.0087221879</v>
      </c>
      <c r="C31" s="3">
        <v>-0.00403594400000001</v>
      </c>
      <c r="D31" s="3">
        <v>-0.00307414400000001</v>
      </c>
      <c r="E31" s="4">
        <f t="shared" si="0"/>
        <v>-0.0142366419935763</v>
      </c>
      <c r="F31" s="3">
        <v>0.0142366419935763</v>
      </c>
    </row>
    <row r="32" spans="1:6">
      <c r="A32" s="2">
        <v>45889</v>
      </c>
      <c r="B32" s="3">
        <v>-0.00835745739999996</v>
      </c>
      <c r="C32" s="3">
        <v>-0.00288107429999999</v>
      </c>
      <c r="D32" s="3">
        <v>-0.000107393299999981</v>
      </c>
      <c r="E32" s="4">
        <f t="shared" si="0"/>
        <v>-0.0134440919939339</v>
      </c>
      <c r="F32" s="3">
        <v>0.0134440919939339</v>
      </c>
    </row>
    <row r="33" spans="1:6">
      <c r="A33" s="2">
        <v>45890</v>
      </c>
      <c r="B33" s="3">
        <v>-0.0112233419</v>
      </c>
      <c r="C33" s="3">
        <v>-0.00285922220000001</v>
      </c>
      <c r="D33" s="3">
        <v>-0.0018595482</v>
      </c>
      <c r="E33" s="4">
        <f t="shared" si="0"/>
        <v>-0.00889315199598736</v>
      </c>
      <c r="F33" s="3">
        <v>0.00889315199598736</v>
      </c>
    </row>
    <row r="34" spans="1:6">
      <c r="A34" s="2">
        <v>45891</v>
      </c>
      <c r="B34" s="3">
        <v>-0.00870511189999994</v>
      </c>
      <c r="C34" s="3">
        <v>-0.00191729739999996</v>
      </c>
      <c r="D34" s="3">
        <v>-0.000671770899999962</v>
      </c>
      <c r="E34" s="4">
        <f t="shared" si="0"/>
        <v>-0.0130065519941313</v>
      </c>
      <c r="F34" s="3">
        <v>0.0130065519941313</v>
      </c>
    </row>
    <row r="35" spans="1:6">
      <c r="A35" s="2">
        <v>45894</v>
      </c>
      <c r="B35" s="3">
        <v>-0.00291283239999998</v>
      </c>
      <c r="C35" s="3">
        <v>-0.00180165360000001</v>
      </c>
      <c r="D35" s="3">
        <v>1.27879000000015e-5</v>
      </c>
      <c r="E35" s="4">
        <f t="shared" si="0"/>
        <v>0.00358459799838261</v>
      </c>
      <c r="F35" s="3">
        <v>-0.00358459799838261</v>
      </c>
    </row>
    <row r="36" spans="1:6">
      <c r="A36" s="2">
        <v>45895</v>
      </c>
      <c r="B36" s="3">
        <v>0.00296916809999994</v>
      </c>
      <c r="C36" s="3">
        <v>-0.00292088910000007</v>
      </c>
      <c r="D36" s="3">
        <v>-0.00105480010000006</v>
      </c>
      <c r="E36" s="4">
        <f t="shared" si="0"/>
        <v>0.0210377279905076</v>
      </c>
      <c r="F36" s="3">
        <v>-0.0210377279905076</v>
      </c>
    </row>
    <row r="37" spans="1:6">
      <c r="A37" s="2">
        <v>45896</v>
      </c>
      <c r="B37" s="3">
        <v>0.00218338559999996</v>
      </c>
      <c r="C37" s="3">
        <v>-0.00599167980000006</v>
      </c>
      <c r="D37" s="3">
        <v>-0.00491182780000006</v>
      </c>
      <c r="E37" s="4">
        <f t="shared" si="0"/>
        <v>0.0165680079925244</v>
      </c>
      <c r="F37" s="3">
        <v>-0.0165680079925244</v>
      </c>
    </row>
    <row r="38" spans="1:6">
      <c r="A38" s="2">
        <v>45897</v>
      </c>
      <c r="B38" s="3">
        <v>0.00363870509999996</v>
      </c>
      <c r="C38" s="3">
        <v>-0.00670361920000005</v>
      </c>
      <c r="D38" s="3">
        <v>-0.00580466620000005</v>
      </c>
      <c r="E38" s="4">
        <f t="shared" si="0"/>
        <v>0.0141222379936279</v>
      </c>
      <c r="F38" s="3">
        <v>-0.0141222379936279</v>
      </c>
    </row>
    <row r="39" spans="1:6">
      <c r="A39" s="2">
        <v>45898</v>
      </c>
      <c r="B39" s="3">
        <v>0.00235238660000005</v>
      </c>
      <c r="C39" s="3">
        <v>-0.00409083299999996</v>
      </c>
      <c r="D39" s="3">
        <v>-0.00523195049999996</v>
      </c>
      <c r="E39" s="4">
        <f t="shared" si="0"/>
        <v>0.0218119379901584</v>
      </c>
      <c r="F39" s="3">
        <v>-0.0218119379901584</v>
      </c>
    </row>
    <row r="40" spans="1:6">
      <c r="A40" s="2">
        <v>45901</v>
      </c>
      <c r="B40" s="3">
        <v>0.00338451710000005</v>
      </c>
      <c r="C40" s="3">
        <v>-0.00326014169999997</v>
      </c>
      <c r="D40" s="3">
        <v>-0.00573361869999996</v>
      </c>
      <c r="E40" s="4">
        <f t="shared" si="0"/>
        <v>0.0212879379903948</v>
      </c>
      <c r="F40" s="3">
        <v>-0.0212879379903948</v>
      </c>
    </row>
    <row r="41" spans="1:6">
      <c r="A41" s="2">
        <v>45902</v>
      </c>
      <c r="B41" s="3">
        <v>0.0061960801</v>
      </c>
      <c r="C41" s="3">
        <v>-0.00560666520000002</v>
      </c>
      <c r="D41" s="3">
        <v>-0.00844776220000002</v>
      </c>
      <c r="E41" s="4">
        <f t="shared" si="0"/>
        <v>0.0283160879872236</v>
      </c>
      <c r="F41" s="3">
        <v>-0.0283160879872236</v>
      </c>
    </row>
    <row r="42" spans="1:6">
      <c r="A42" s="2">
        <v>45903</v>
      </c>
      <c r="B42" s="3">
        <v>0.00801110359999999</v>
      </c>
      <c r="C42" s="3">
        <v>-0.00708544710000002</v>
      </c>
      <c r="D42" s="3">
        <v>-0.0107438986</v>
      </c>
      <c r="E42" s="4">
        <f t="shared" si="0"/>
        <v>0.0197408279910928</v>
      </c>
      <c r="F42" s="3">
        <v>-0.0197408279910928</v>
      </c>
    </row>
    <row r="43" spans="1:6">
      <c r="A43" s="2">
        <v>45904</v>
      </c>
      <c r="B43" s="3">
        <v>0.00507157409999998</v>
      </c>
      <c r="C43" s="3">
        <v>-0.00444838030000002</v>
      </c>
      <c r="D43" s="3">
        <v>-0.00664080530000003</v>
      </c>
      <c r="E43" s="4">
        <f t="shared" si="0"/>
        <v>0.022464317989864</v>
      </c>
      <c r="F43" s="3">
        <v>-0.022464317989864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topLeftCell="E1" workbookViewId="0">
      <selection activeCell="J8" sqref="J8"/>
    </sheetView>
  </sheetViews>
  <sheetFormatPr defaultColWidth="11" defaultRowHeight="17.6" outlineLevelCol="5"/>
  <cols>
    <col min="1" max="1" width="12.6666666666667" style="1" customWidth="1"/>
  </cols>
  <sheetData>
    <row r="1" spans="1:6">
      <c r="A1" s="1" t="s">
        <v>14</v>
      </c>
      <c r="B1" t="s">
        <v>122</v>
      </c>
      <c r="C1" t="s">
        <v>119</v>
      </c>
      <c r="D1" t="s">
        <v>121</v>
      </c>
      <c r="E1" t="s">
        <v>123</v>
      </c>
      <c r="F1" t="s">
        <v>124</v>
      </c>
    </row>
    <row r="2" spans="1:6">
      <c r="A2" s="2">
        <v>45847</v>
      </c>
      <c r="B2" s="3">
        <v>0</v>
      </c>
      <c r="C2" s="3">
        <v>0</v>
      </c>
      <c r="D2" s="3">
        <v>0</v>
      </c>
      <c r="E2" s="4">
        <f>-F2</f>
        <v>0</v>
      </c>
      <c r="F2" s="3">
        <v>0</v>
      </c>
    </row>
    <row r="3" spans="1:6">
      <c r="A3" s="2">
        <v>45848</v>
      </c>
      <c r="B3" s="3">
        <v>0.0050232843</v>
      </c>
      <c r="C3" s="3">
        <v>0.00481532899999999</v>
      </c>
      <c r="D3" s="3">
        <v>0.003978016</v>
      </c>
      <c r="E3" s="4">
        <f t="shared" ref="E3:E43" si="0">-F3</f>
        <v>-0.003018951</v>
      </c>
      <c r="F3" s="3">
        <v>0.003018951</v>
      </c>
    </row>
    <row r="4" spans="1:6">
      <c r="A4" s="2">
        <v>45849</v>
      </c>
      <c r="B4" s="3">
        <v>-0.00415688900000001</v>
      </c>
      <c r="C4" s="3">
        <v>-0.00589096400000001</v>
      </c>
      <c r="D4" s="3">
        <v>-0.005522395</v>
      </c>
      <c r="E4" s="4">
        <f t="shared" si="0"/>
        <v>0.00623967300000001</v>
      </c>
      <c r="F4" s="3">
        <v>-0.00623967300000001</v>
      </c>
    </row>
    <row r="5" spans="1:6">
      <c r="A5" s="2">
        <v>45852</v>
      </c>
      <c r="B5" s="3">
        <v>-0.00699193640000001</v>
      </c>
      <c r="C5" s="3">
        <v>-0.00978688</v>
      </c>
      <c r="D5" s="3">
        <v>-0.00698366899999999</v>
      </c>
      <c r="E5" s="4">
        <f t="shared" si="0"/>
        <v>0.00891980099999999</v>
      </c>
      <c r="F5" s="3">
        <v>-0.00891980099999999</v>
      </c>
    </row>
    <row r="6" spans="1:6">
      <c r="A6" s="2">
        <v>45853</v>
      </c>
      <c r="B6" s="3">
        <v>-0.0116137922</v>
      </c>
      <c r="C6" s="3">
        <v>-0.0139139995</v>
      </c>
      <c r="D6" s="3">
        <v>-0.011813482</v>
      </c>
      <c r="E6" s="4">
        <f t="shared" si="0"/>
        <v>0.014244525</v>
      </c>
      <c r="F6" s="3">
        <v>-0.014244525</v>
      </c>
    </row>
    <row r="7" spans="1:6">
      <c r="A7" s="2">
        <v>45854</v>
      </c>
      <c r="B7" s="3">
        <v>-0.0187650737</v>
      </c>
      <c r="C7" s="3">
        <v>-0.0207508575</v>
      </c>
      <c r="D7" s="3">
        <v>-0.021962273</v>
      </c>
      <c r="E7" s="4">
        <f t="shared" si="0"/>
        <v>0.019843353</v>
      </c>
      <c r="F7" s="3">
        <v>-0.019843353</v>
      </c>
    </row>
    <row r="8" spans="1:6">
      <c r="A8" s="2">
        <v>45855</v>
      </c>
      <c r="B8" s="3">
        <v>-0.0086502621</v>
      </c>
      <c r="C8" s="3">
        <v>-0.00973347800000001</v>
      </c>
      <c r="D8" s="3">
        <v>-0.0136306535</v>
      </c>
      <c r="E8" s="4">
        <f t="shared" si="0"/>
        <v>0.007164774</v>
      </c>
      <c r="F8" s="3">
        <v>-0.007164774</v>
      </c>
    </row>
    <row r="9" spans="1:6">
      <c r="A9" s="2">
        <v>45856</v>
      </c>
      <c r="B9" s="3">
        <v>-0.0069676446</v>
      </c>
      <c r="C9" s="3">
        <v>-0.007885667</v>
      </c>
      <c r="D9" s="3">
        <v>-0.0105558555</v>
      </c>
      <c r="E9" s="4">
        <f t="shared" si="0"/>
        <v>0.00707975099999999</v>
      </c>
      <c r="F9" s="3">
        <v>-0.00707975099999999</v>
      </c>
    </row>
    <row r="10" spans="1:6">
      <c r="A10" s="2">
        <v>45859</v>
      </c>
      <c r="B10" s="3">
        <v>-0.0102785412</v>
      </c>
      <c r="C10" s="3">
        <v>-0.0109770815</v>
      </c>
      <c r="D10" s="3">
        <v>-0.0125275475</v>
      </c>
      <c r="E10" s="4">
        <f t="shared" si="0"/>
        <v>0.010182456</v>
      </c>
      <c r="F10" s="3">
        <v>-0.010182456</v>
      </c>
    </row>
    <row r="11" spans="1:6">
      <c r="A11" s="2">
        <v>45860</v>
      </c>
      <c r="B11" s="3">
        <v>-0.0152434835</v>
      </c>
      <c r="C11" s="3">
        <v>-0.014378726</v>
      </c>
      <c r="D11" s="3">
        <v>-0.0137864855</v>
      </c>
      <c r="E11" s="4">
        <f t="shared" si="0"/>
        <v>0.017010945</v>
      </c>
      <c r="F11" s="3">
        <v>-0.017010945</v>
      </c>
    </row>
    <row r="12" spans="1:6">
      <c r="A12" s="2">
        <v>45861</v>
      </c>
      <c r="B12" s="3">
        <v>-0.0055090395</v>
      </c>
      <c r="C12" s="3">
        <v>-0.00127941550000001</v>
      </c>
      <c r="D12" s="3">
        <v>-0.004926973</v>
      </c>
      <c r="E12" s="4">
        <f t="shared" si="0"/>
        <v>0.00355700699999997</v>
      </c>
      <c r="F12" s="3">
        <v>-0.00355700699999997</v>
      </c>
    </row>
    <row r="13" spans="1:6">
      <c r="A13" s="2">
        <v>45862</v>
      </c>
      <c r="B13" s="3">
        <v>-0.012043929</v>
      </c>
      <c r="C13" s="3">
        <v>-0.00211554350000001</v>
      </c>
      <c r="D13" s="3">
        <v>-0.00825794900000001</v>
      </c>
      <c r="E13" s="4">
        <f t="shared" si="0"/>
        <v>0.00763684200000004</v>
      </c>
      <c r="F13" s="3">
        <v>-0.00763684200000004</v>
      </c>
    </row>
    <row r="14" spans="1:6">
      <c r="A14" s="2">
        <v>45863</v>
      </c>
      <c r="B14" s="3">
        <v>-0.00700686169999999</v>
      </c>
      <c r="C14" s="3">
        <v>0.00432238999999999</v>
      </c>
      <c r="D14" s="3">
        <v>-0.0029665665</v>
      </c>
      <c r="E14" s="4">
        <f t="shared" si="0"/>
        <v>0.00556837200000001</v>
      </c>
      <c r="F14" s="3">
        <v>-0.00556837200000001</v>
      </c>
    </row>
    <row r="15" spans="1:6">
      <c r="A15" s="2">
        <v>45866</v>
      </c>
      <c r="B15" s="3">
        <v>-0.0162128096</v>
      </c>
      <c r="C15" s="3">
        <v>-0.00352207000000002</v>
      </c>
      <c r="D15" s="3">
        <v>-0.012143866</v>
      </c>
      <c r="E15" s="4">
        <f t="shared" si="0"/>
        <v>0.00984490199999999</v>
      </c>
      <c r="F15" s="3">
        <v>-0.00984490199999999</v>
      </c>
    </row>
    <row r="16" spans="1:6">
      <c r="A16" s="2">
        <v>45867</v>
      </c>
      <c r="B16" s="3">
        <v>-0.00940191700000001</v>
      </c>
      <c r="C16" s="3">
        <v>0.00374050249999998</v>
      </c>
      <c r="D16" s="3">
        <v>-0.00719649850000001</v>
      </c>
      <c r="E16" s="4">
        <f t="shared" si="0"/>
        <v>0.00267759000000004</v>
      </c>
      <c r="F16" s="3">
        <v>-0.00267759000000004</v>
      </c>
    </row>
    <row r="17" spans="1:6">
      <c r="A17" s="2">
        <v>45868</v>
      </c>
      <c r="B17" s="3">
        <v>-0.0140947843</v>
      </c>
      <c r="C17" s="3">
        <v>-0.00073829450000001</v>
      </c>
      <c r="D17" s="3">
        <v>-0.00772094500000001</v>
      </c>
      <c r="E17" s="4">
        <f t="shared" si="0"/>
        <v>0.00209385</v>
      </c>
      <c r="F17" s="3">
        <v>-0.00209385</v>
      </c>
    </row>
    <row r="18" spans="1:6">
      <c r="A18" s="2">
        <v>45869</v>
      </c>
      <c r="B18" s="3">
        <v>-0.0234448026</v>
      </c>
      <c r="C18" s="3">
        <v>-0.00933151000000001</v>
      </c>
      <c r="D18" s="3">
        <v>-0.018954992</v>
      </c>
      <c r="E18" s="4">
        <f t="shared" si="0"/>
        <v>0.013513581</v>
      </c>
      <c r="F18" s="3">
        <v>-0.013513581</v>
      </c>
    </row>
    <row r="19" spans="1:6">
      <c r="A19" s="2">
        <v>45870</v>
      </c>
      <c r="B19" s="3">
        <v>-0.0537643254</v>
      </c>
      <c r="C19" s="3">
        <v>-0.042032642</v>
      </c>
      <c r="D19" s="3">
        <v>-0.041663786</v>
      </c>
      <c r="E19" s="4">
        <f t="shared" si="0"/>
        <v>0.04216887</v>
      </c>
      <c r="F19" s="3">
        <v>-0.04216887</v>
      </c>
    </row>
    <row r="20" spans="1:6">
      <c r="A20" s="2">
        <v>45873</v>
      </c>
      <c r="B20" s="3">
        <v>-0.0470857523</v>
      </c>
      <c r="C20" s="3">
        <v>-0.0346542865</v>
      </c>
      <c r="D20" s="3">
        <v>-0.0361512255</v>
      </c>
      <c r="E20" s="4">
        <f t="shared" si="0"/>
        <v>0.031274505</v>
      </c>
      <c r="F20" s="3">
        <v>-0.031274505</v>
      </c>
    </row>
    <row r="21" spans="1:6">
      <c r="A21" s="2">
        <v>45874</v>
      </c>
      <c r="B21" s="3">
        <v>-0.0467644534</v>
      </c>
      <c r="C21" s="3">
        <v>-0.0348464805</v>
      </c>
      <c r="D21" s="3">
        <v>-0.0357020065</v>
      </c>
      <c r="E21" s="4">
        <f t="shared" si="0"/>
        <v>0.032666598</v>
      </c>
      <c r="F21" s="3">
        <v>-0.032666598</v>
      </c>
    </row>
    <row r="22" spans="1:6">
      <c r="A22" s="2">
        <v>45875</v>
      </c>
      <c r="B22" s="3">
        <v>-0.0481661869</v>
      </c>
      <c r="C22" s="3">
        <v>-0.0318857373</v>
      </c>
      <c r="D22" s="3">
        <v>-0.0341047528</v>
      </c>
      <c r="E22" s="4">
        <f t="shared" si="0"/>
        <v>0.0308339079860876</v>
      </c>
      <c r="F22" s="3">
        <v>-0.0308339079860876</v>
      </c>
    </row>
    <row r="23" spans="1:6">
      <c r="A23" s="2">
        <v>45876</v>
      </c>
      <c r="B23" s="3">
        <v>-0.0350641984</v>
      </c>
      <c r="C23" s="3">
        <v>-0.0239821664</v>
      </c>
      <c r="D23" s="3">
        <v>-0.0232514314</v>
      </c>
      <c r="E23" s="4">
        <f t="shared" si="0"/>
        <v>0.0211019179904787</v>
      </c>
      <c r="F23" s="3">
        <v>-0.0211019179904787</v>
      </c>
    </row>
    <row r="24" spans="1:6">
      <c r="A24" s="2">
        <v>45877</v>
      </c>
      <c r="B24" s="3">
        <v>-0.0289151004</v>
      </c>
      <c r="C24" s="3">
        <v>-0.0194276199</v>
      </c>
      <c r="D24" s="3">
        <v>-0.0173689674</v>
      </c>
      <c r="E24" s="4">
        <f t="shared" si="0"/>
        <v>0.0166898379924695</v>
      </c>
      <c r="F24" s="3">
        <v>-0.0166898379924695</v>
      </c>
    </row>
    <row r="25" spans="1:6">
      <c r="A25" s="2">
        <v>45880</v>
      </c>
      <c r="B25" s="3">
        <v>-0.0359526454</v>
      </c>
      <c r="C25" s="3">
        <v>-0.0220991597</v>
      </c>
      <c r="D25" s="3">
        <v>-0.0223332767</v>
      </c>
      <c r="E25" s="4">
        <f t="shared" si="0"/>
        <v>0.0225167179898403</v>
      </c>
      <c r="F25" s="3">
        <v>-0.0225167179898403</v>
      </c>
    </row>
    <row r="26" spans="1:6">
      <c r="A26" s="2">
        <v>45881</v>
      </c>
      <c r="B26" s="3">
        <v>-0.0296996669</v>
      </c>
      <c r="C26" s="3">
        <v>-0.015597874</v>
      </c>
      <c r="D26" s="3">
        <v>-0.018117998</v>
      </c>
      <c r="E26" s="4">
        <f t="shared" si="0"/>
        <v>0.0153248179930853</v>
      </c>
      <c r="F26" s="3">
        <v>-0.0153248179930853</v>
      </c>
    </row>
    <row r="27" spans="1:6">
      <c r="A27" s="2">
        <v>45882</v>
      </c>
      <c r="B27" s="3">
        <v>-0.0215754304</v>
      </c>
      <c r="C27" s="3">
        <v>-0.00972575140000001</v>
      </c>
      <c r="D27" s="3">
        <v>-0.0104223529</v>
      </c>
      <c r="E27" s="4">
        <f t="shared" si="0"/>
        <v>0.00857176799613234</v>
      </c>
      <c r="F27" s="3">
        <v>-0.00857176799613234</v>
      </c>
    </row>
    <row r="28" spans="1:6">
      <c r="A28" s="2">
        <v>45883</v>
      </c>
      <c r="B28" s="3">
        <v>-0.0147365624</v>
      </c>
      <c r="C28" s="3">
        <v>-0.002152038</v>
      </c>
      <c r="D28" s="3">
        <v>-0.0042063395</v>
      </c>
      <c r="E28" s="4">
        <f t="shared" si="0"/>
        <v>8.29799999623512e-6</v>
      </c>
      <c r="F28" s="3">
        <v>-8.29799999623512e-6</v>
      </c>
    </row>
    <row r="29" spans="1:6">
      <c r="A29" s="2">
        <v>45884</v>
      </c>
      <c r="B29" s="3">
        <v>-0.0068790914</v>
      </c>
      <c r="C29" s="3">
        <v>0.00585262949999998</v>
      </c>
      <c r="D29" s="3">
        <v>0.00320081949999998</v>
      </c>
      <c r="E29" s="4">
        <f t="shared" si="0"/>
        <v>-0.0069491119968645</v>
      </c>
      <c r="F29" s="3">
        <v>0.0069491119968645</v>
      </c>
    </row>
    <row r="30" spans="1:6">
      <c r="A30" s="2">
        <v>45887</v>
      </c>
      <c r="B30" s="3">
        <v>-0.0107500449</v>
      </c>
      <c r="C30" s="3">
        <v>0.00171756059999999</v>
      </c>
      <c r="D30" s="3">
        <v>-0.000900654900000012</v>
      </c>
      <c r="E30" s="4">
        <f t="shared" si="0"/>
        <v>-0.0017877119991934</v>
      </c>
      <c r="F30" s="3">
        <v>0.0017877119991934</v>
      </c>
    </row>
    <row r="31" spans="1:6">
      <c r="A31" s="2">
        <v>45888</v>
      </c>
      <c r="B31" s="3">
        <v>0.00551445409999999</v>
      </c>
      <c r="C31" s="3">
        <v>0.010200698</v>
      </c>
      <c r="D31" s="3">
        <v>0.011162498</v>
      </c>
      <c r="E31" s="4">
        <f t="shared" si="0"/>
        <v>-0.0142366419935763</v>
      </c>
      <c r="F31" s="3">
        <v>0.0142366419935763</v>
      </c>
    </row>
    <row r="32" spans="1:6">
      <c r="A32" s="2">
        <v>45889</v>
      </c>
      <c r="B32" s="3">
        <v>0.0050866346</v>
      </c>
      <c r="C32" s="3">
        <v>0.0105630177</v>
      </c>
      <c r="D32" s="3">
        <v>0.0133366987</v>
      </c>
      <c r="E32" s="4">
        <f t="shared" si="0"/>
        <v>-0.0134440919939339</v>
      </c>
      <c r="F32" s="3">
        <v>0.0134440919939339</v>
      </c>
    </row>
    <row r="33" spans="1:6">
      <c r="A33" s="2">
        <v>45890</v>
      </c>
      <c r="B33" s="3">
        <v>-0.0023301899</v>
      </c>
      <c r="C33" s="3">
        <v>0.00603392979999998</v>
      </c>
      <c r="D33" s="3">
        <v>0.00703360379999998</v>
      </c>
      <c r="E33" s="4">
        <f t="shared" si="0"/>
        <v>-0.00889315199598736</v>
      </c>
      <c r="F33" s="3">
        <v>0.00889315199598736</v>
      </c>
    </row>
    <row r="34" spans="1:6">
      <c r="A34" s="2">
        <v>45891</v>
      </c>
      <c r="B34" s="3">
        <v>0.00430144010000001</v>
      </c>
      <c r="C34" s="3">
        <v>0.0110892546</v>
      </c>
      <c r="D34" s="3">
        <v>0.0123347811</v>
      </c>
      <c r="E34" s="4">
        <f t="shared" si="0"/>
        <v>-0.0130065519941313</v>
      </c>
      <c r="F34" s="3">
        <v>0.0130065519941313</v>
      </c>
    </row>
    <row r="35" spans="1:6">
      <c r="A35" s="2">
        <v>45894</v>
      </c>
      <c r="B35" s="3">
        <v>-0.00649743039999999</v>
      </c>
      <c r="C35" s="3">
        <v>-0.00538625160000001</v>
      </c>
      <c r="D35" s="3">
        <v>-0.00357181010000001</v>
      </c>
      <c r="E35" s="4">
        <f t="shared" si="0"/>
        <v>0.00358459799838261</v>
      </c>
      <c r="F35" s="3">
        <v>-0.00358459799838261</v>
      </c>
    </row>
    <row r="36" spans="1:6">
      <c r="A36" s="2">
        <v>45895</v>
      </c>
      <c r="B36" s="3">
        <v>-0.0180685599</v>
      </c>
      <c r="C36" s="3">
        <v>-0.0239586171</v>
      </c>
      <c r="D36" s="3">
        <v>-0.0220925281</v>
      </c>
      <c r="E36" s="4">
        <f t="shared" si="0"/>
        <v>0.0210377279905076</v>
      </c>
      <c r="F36" s="3">
        <v>-0.0210377279905076</v>
      </c>
    </row>
    <row r="37" spans="1:6">
      <c r="A37" s="2">
        <v>45896</v>
      </c>
      <c r="B37" s="3">
        <v>-0.0143846224</v>
      </c>
      <c r="C37" s="3">
        <v>-0.0225596878</v>
      </c>
      <c r="D37" s="3">
        <v>-0.0214798358</v>
      </c>
      <c r="E37" s="4">
        <f t="shared" si="0"/>
        <v>0.0165680079925244</v>
      </c>
      <c r="F37" s="3">
        <v>-0.0165680079925244</v>
      </c>
    </row>
    <row r="38" spans="1:6">
      <c r="A38" s="2">
        <v>45897</v>
      </c>
      <c r="B38" s="3">
        <v>-0.0104835329</v>
      </c>
      <c r="C38" s="3">
        <v>-0.0208258572</v>
      </c>
      <c r="D38" s="3">
        <v>-0.0199269042</v>
      </c>
      <c r="E38" s="4">
        <f t="shared" si="0"/>
        <v>0.0141222379936279</v>
      </c>
      <c r="F38" s="3">
        <v>-0.0141222379936279</v>
      </c>
    </row>
    <row r="39" spans="1:6">
      <c r="A39" s="2">
        <v>45898</v>
      </c>
      <c r="B39" s="3">
        <v>-0.0194595514</v>
      </c>
      <c r="C39" s="3">
        <v>-0.025902771</v>
      </c>
      <c r="D39" s="3">
        <v>-0.0270438885</v>
      </c>
      <c r="E39" s="4">
        <f t="shared" si="0"/>
        <v>0.0218119379901584</v>
      </c>
      <c r="F39" s="3">
        <v>-0.0218119379901584</v>
      </c>
    </row>
    <row r="40" spans="1:6">
      <c r="A40" s="2">
        <v>45901</v>
      </c>
      <c r="B40" s="3">
        <v>-0.0179034209</v>
      </c>
      <c r="C40" s="3">
        <v>-0.0245480797</v>
      </c>
      <c r="D40" s="3">
        <v>-0.0270215567</v>
      </c>
      <c r="E40" s="4">
        <f t="shared" si="0"/>
        <v>0.0212879379903948</v>
      </c>
      <c r="F40" s="3">
        <v>-0.0212879379903948</v>
      </c>
    </row>
    <row r="41" spans="1:6">
      <c r="A41" s="2">
        <v>45902</v>
      </c>
      <c r="B41" s="3">
        <v>-0.0221200079</v>
      </c>
      <c r="C41" s="3">
        <v>-0.0339227532</v>
      </c>
      <c r="D41" s="3">
        <v>-0.0367638502</v>
      </c>
      <c r="E41" s="4">
        <f t="shared" si="0"/>
        <v>0.0283160879872236</v>
      </c>
      <c r="F41" s="3">
        <v>-0.0283160879872236</v>
      </c>
    </row>
    <row r="42" spans="1:6">
      <c r="A42" s="2">
        <v>45903</v>
      </c>
      <c r="B42" s="3">
        <v>-0.0117297244</v>
      </c>
      <c r="C42" s="3">
        <v>-0.0268262751</v>
      </c>
      <c r="D42" s="3">
        <v>-0.0304847266</v>
      </c>
      <c r="E42" s="4">
        <f t="shared" si="0"/>
        <v>0.0197408279910928</v>
      </c>
      <c r="F42" s="3">
        <v>-0.0197408279910928</v>
      </c>
    </row>
    <row r="43" spans="1:6">
      <c r="A43" s="2">
        <v>45904</v>
      </c>
      <c r="B43" s="3">
        <v>-0.0173927439</v>
      </c>
      <c r="C43" s="3">
        <v>-0.0269126983</v>
      </c>
      <c r="D43" s="3">
        <v>-0.0291051233</v>
      </c>
      <c r="E43" s="4">
        <f t="shared" si="0"/>
        <v>0.022464317989864</v>
      </c>
      <c r="F43" s="3">
        <v>-0.022464317989864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MVE</vt:lpstr>
      <vt:lpstr>IR</vt:lpstr>
      <vt:lpstr>RP</vt:lpstr>
      <vt:lpstr>Weight</vt:lpstr>
      <vt:lpstr>paper-trading</vt:lpstr>
      <vt:lpstr>attribution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Kaixin</cp:lastModifiedBy>
  <dcterms:created xsi:type="dcterms:W3CDTF">2025-07-16T13:59:00Z</dcterms:created>
  <dcterms:modified xsi:type="dcterms:W3CDTF">2025-10-28T23:30:04Z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75A14A04258750F5164201699BAE93E2_42</vt:lpwstr>
  </property>
  <property fmtid="{D5CDD505-2E9C-101B-9397-08002B2CF9AE}" pid="3" name="KSOProductBuildVer">
    <vt:lpwstr>2052-12.1.23141.23141</vt:lpwstr>
  </property>
</Properties>
</file>